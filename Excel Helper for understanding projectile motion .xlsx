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d75d128dc6af497/[01]School_Formal_Education/[01]Dyatmika_School/[99}Archieve/Class 12/Physics/Excel Project for Projectile Motion/"/>
    </mc:Choice>
  </mc:AlternateContent>
  <xr:revisionPtr revIDLastSave="38" documentId="13_ncr:1_{1E049316-776E-4C6A-8C66-8998BC761F0B}" xr6:coauthVersionLast="47" xr6:coauthVersionMax="47" xr10:uidLastSave="{6B464B6E-668A-419D-893F-32D816298FA5}"/>
  <bookViews>
    <workbookView xWindow="2130" yWindow="-21720" windowWidth="38640" windowHeight="21120" xr2:uid="{00000000-000D-0000-FFFF-FFFF00000000}"/>
  </bookViews>
  <sheets>
    <sheet name="Sheet1" sheetId="1" r:id="rId1"/>
  </sheets>
  <definedNames>
    <definedName name="ChartData">Sheet1!$A$10:$C$611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1" l="1"/>
  <c r="F1" i="1"/>
  <c r="B74" i="1" s="1"/>
  <c r="F3" i="1"/>
  <c r="B562" i="1" l="1"/>
  <c r="B554" i="1"/>
  <c r="B578" i="1"/>
  <c r="B610" i="1"/>
  <c r="B546" i="1"/>
  <c r="B570" i="1"/>
  <c r="B602" i="1"/>
  <c r="B538" i="1"/>
  <c r="B594" i="1"/>
  <c r="B530" i="1"/>
  <c r="B586" i="1"/>
  <c r="B514" i="1"/>
  <c r="B466" i="1"/>
  <c r="B611" i="1"/>
  <c r="B603" i="1"/>
  <c r="B595" i="1"/>
  <c r="B587" i="1"/>
  <c r="B579" i="1"/>
  <c r="B571" i="1"/>
  <c r="B563" i="1"/>
  <c r="B555" i="1"/>
  <c r="B547" i="1"/>
  <c r="B539" i="1"/>
  <c r="B531" i="1"/>
  <c r="B523" i="1"/>
  <c r="B515" i="1"/>
  <c r="B507" i="1"/>
  <c r="B499" i="1"/>
  <c r="B491" i="1"/>
  <c r="B483" i="1"/>
  <c r="B475" i="1"/>
  <c r="B467" i="1"/>
  <c r="B459" i="1"/>
  <c r="B451" i="1"/>
  <c r="B443" i="1"/>
  <c r="B435" i="1"/>
  <c r="B427" i="1"/>
  <c r="B419" i="1"/>
  <c r="B411" i="1"/>
  <c r="B403" i="1"/>
  <c r="B395" i="1"/>
  <c r="B387" i="1"/>
  <c r="B379" i="1"/>
  <c r="B371" i="1"/>
  <c r="B363" i="1"/>
  <c r="B355" i="1"/>
  <c r="B347" i="1"/>
  <c r="B334" i="1"/>
  <c r="B318" i="1"/>
  <c r="B296" i="1"/>
  <c r="B273" i="1"/>
  <c r="B254" i="1"/>
  <c r="B232" i="1"/>
  <c r="B176" i="1"/>
  <c r="B112" i="1"/>
  <c r="B24" i="1"/>
  <c r="B506" i="1"/>
  <c r="B474" i="1"/>
  <c r="B434" i="1"/>
  <c r="B410" i="1"/>
  <c r="B386" i="1"/>
  <c r="B362" i="1"/>
  <c r="B346" i="1"/>
  <c r="B272" i="1"/>
  <c r="B104" i="1"/>
  <c r="B601" i="1"/>
  <c r="B593" i="1"/>
  <c r="B585" i="1"/>
  <c r="B577" i="1"/>
  <c r="B569" i="1"/>
  <c r="B561" i="1"/>
  <c r="B553" i="1"/>
  <c r="B545" i="1"/>
  <c r="B537" i="1"/>
  <c r="B529" i="1"/>
  <c r="B521" i="1"/>
  <c r="B513" i="1"/>
  <c r="B505" i="1"/>
  <c r="B497" i="1"/>
  <c r="B489" i="1"/>
  <c r="B481" i="1"/>
  <c r="B473" i="1"/>
  <c r="B465" i="1"/>
  <c r="B457" i="1"/>
  <c r="B449" i="1"/>
  <c r="B441" i="1"/>
  <c r="B433" i="1"/>
  <c r="B425" i="1"/>
  <c r="B417" i="1"/>
  <c r="B409" i="1"/>
  <c r="B401" i="1"/>
  <c r="B393" i="1"/>
  <c r="B385" i="1"/>
  <c r="B377" i="1"/>
  <c r="B369" i="1"/>
  <c r="B361" i="1"/>
  <c r="B353" i="1"/>
  <c r="B345" i="1"/>
  <c r="B329" i="1"/>
  <c r="B312" i="1"/>
  <c r="B289" i="1"/>
  <c r="B270" i="1"/>
  <c r="B248" i="1"/>
  <c r="B224" i="1"/>
  <c r="B160" i="1"/>
  <c r="B96" i="1"/>
  <c r="B498" i="1"/>
  <c r="B442" i="1"/>
  <c r="B370" i="1"/>
  <c r="B249" i="1"/>
  <c r="B584" i="1"/>
  <c r="B552" i="1"/>
  <c r="B536" i="1"/>
  <c r="B520" i="1"/>
  <c r="B512" i="1"/>
  <c r="B504" i="1"/>
  <c r="B496" i="1"/>
  <c r="B488" i="1"/>
  <c r="B480" i="1"/>
  <c r="B472" i="1"/>
  <c r="B464" i="1"/>
  <c r="B456" i="1"/>
  <c r="B448" i="1"/>
  <c r="B440" i="1"/>
  <c r="B432" i="1"/>
  <c r="B424" i="1"/>
  <c r="B416" i="1"/>
  <c r="B408" i="1"/>
  <c r="B400" i="1"/>
  <c r="B392" i="1"/>
  <c r="B384" i="1"/>
  <c r="B376" i="1"/>
  <c r="B368" i="1"/>
  <c r="B360" i="1"/>
  <c r="B352" i="1"/>
  <c r="B344" i="1"/>
  <c r="B328" i="1"/>
  <c r="B310" i="1"/>
  <c r="B288" i="1"/>
  <c r="B265" i="1"/>
  <c r="B246" i="1"/>
  <c r="B216" i="1"/>
  <c r="B152" i="1"/>
  <c r="B88" i="1"/>
  <c r="B522" i="1"/>
  <c r="B490" i="1"/>
  <c r="B458" i="1"/>
  <c r="B418" i="1"/>
  <c r="B394" i="1"/>
  <c r="B354" i="1"/>
  <c r="B294" i="1"/>
  <c r="B230" i="1"/>
  <c r="B608" i="1"/>
  <c r="B592" i="1"/>
  <c r="B576" i="1"/>
  <c r="B560" i="1"/>
  <c r="B544" i="1"/>
  <c r="B528" i="1"/>
  <c r="B607" i="1"/>
  <c r="B599" i="1"/>
  <c r="B591" i="1"/>
  <c r="B583" i="1"/>
  <c r="B575" i="1"/>
  <c r="B567" i="1"/>
  <c r="B559" i="1"/>
  <c r="B551" i="1"/>
  <c r="B543" i="1"/>
  <c r="B535" i="1"/>
  <c r="B527" i="1"/>
  <c r="B519" i="1"/>
  <c r="B511" i="1"/>
  <c r="B503" i="1"/>
  <c r="B495" i="1"/>
  <c r="B487" i="1"/>
  <c r="B479" i="1"/>
  <c r="B471" i="1"/>
  <c r="B463" i="1"/>
  <c r="B455" i="1"/>
  <c r="B447" i="1"/>
  <c r="B439" i="1"/>
  <c r="B431" i="1"/>
  <c r="B423" i="1"/>
  <c r="B415" i="1"/>
  <c r="B407" i="1"/>
  <c r="B399" i="1"/>
  <c r="B391" i="1"/>
  <c r="B383" i="1"/>
  <c r="B375" i="1"/>
  <c r="B367" i="1"/>
  <c r="B359" i="1"/>
  <c r="B351" i="1"/>
  <c r="B342" i="1"/>
  <c r="B326" i="1"/>
  <c r="B305" i="1"/>
  <c r="B286" i="1"/>
  <c r="B264" i="1"/>
  <c r="B241" i="1"/>
  <c r="B208" i="1"/>
  <c r="B144" i="1"/>
  <c r="J5" i="1"/>
  <c r="B19" i="1"/>
  <c r="B27" i="1"/>
  <c r="B35" i="1"/>
  <c r="B43" i="1"/>
  <c r="B51" i="1"/>
  <c r="B59" i="1"/>
  <c r="B67" i="1"/>
  <c r="B75" i="1"/>
  <c r="B83" i="1"/>
  <c r="B12" i="1"/>
  <c r="B20" i="1"/>
  <c r="B28" i="1"/>
  <c r="B36" i="1"/>
  <c r="B44" i="1"/>
  <c r="B52" i="1"/>
  <c r="B60" i="1"/>
  <c r="B68" i="1"/>
  <c r="B76" i="1"/>
  <c r="B84" i="1"/>
  <c r="B15" i="1"/>
  <c r="B23" i="1"/>
  <c r="B31" i="1"/>
  <c r="B39" i="1"/>
  <c r="B47" i="1"/>
  <c r="B55" i="1"/>
  <c r="B63" i="1"/>
  <c r="B71" i="1"/>
  <c r="B79" i="1"/>
  <c r="B87" i="1"/>
  <c r="B14" i="1"/>
  <c r="B26" i="1"/>
  <c r="B40" i="1"/>
  <c r="B53" i="1"/>
  <c r="B65" i="1"/>
  <c r="B78" i="1"/>
  <c r="B90" i="1"/>
  <c r="B98" i="1"/>
  <c r="B106" i="1"/>
  <c r="B114" i="1"/>
  <c r="B122" i="1"/>
  <c r="B130" i="1"/>
  <c r="B138" i="1"/>
  <c r="B146" i="1"/>
  <c r="B154" i="1"/>
  <c r="B162" i="1"/>
  <c r="B170" i="1"/>
  <c r="B178" i="1"/>
  <c r="B186" i="1"/>
  <c r="B194" i="1"/>
  <c r="B202" i="1"/>
  <c r="B210" i="1"/>
  <c r="B218" i="1"/>
  <c r="B226" i="1"/>
  <c r="B234" i="1"/>
  <c r="B242" i="1"/>
  <c r="B250" i="1"/>
  <c r="B258" i="1"/>
  <c r="B266" i="1"/>
  <c r="B274" i="1"/>
  <c r="B282" i="1"/>
  <c r="B290" i="1"/>
  <c r="B298" i="1"/>
  <c r="B306" i="1"/>
  <c r="B314" i="1"/>
  <c r="B16" i="1"/>
  <c r="B29" i="1"/>
  <c r="B41" i="1"/>
  <c r="B54" i="1"/>
  <c r="B66" i="1"/>
  <c r="B80" i="1"/>
  <c r="B91" i="1"/>
  <c r="B99" i="1"/>
  <c r="B107" i="1"/>
  <c r="B115" i="1"/>
  <c r="B123" i="1"/>
  <c r="B131" i="1"/>
  <c r="B139" i="1"/>
  <c r="B147" i="1"/>
  <c r="B155" i="1"/>
  <c r="B163" i="1"/>
  <c r="B171" i="1"/>
  <c r="B179" i="1"/>
  <c r="B187" i="1"/>
  <c r="B195" i="1"/>
  <c r="B203" i="1"/>
  <c r="B211" i="1"/>
  <c r="B219" i="1"/>
  <c r="B227" i="1"/>
  <c r="B235" i="1"/>
  <c r="B243" i="1"/>
  <c r="B251" i="1"/>
  <c r="B259" i="1"/>
  <c r="B267" i="1"/>
  <c r="B275" i="1"/>
  <c r="B283" i="1"/>
  <c r="B291" i="1"/>
  <c r="B299" i="1"/>
  <c r="B307" i="1"/>
  <c r="B315" i="1"/>
  <c r="B323" i="1"/>
  <c r="B331" i="1"/>
  <c r="B339" i="1"/>
  <c r="B17" i="1"/>
  <c r="B30" i="1"/>
  <c r="B42" i="1"/>
  <c r="B56" i="1"/>
  <c r="B69" i="1"/>
  <c r="B81" i="1"/>
  <c r="B92" i="1"/>
  <c r="B100" i="1"/>
  <c r="B108" i="1"/>
  <c r="B116" i="1"/>
  <c r="B124" i="1"/>
  <c r="B132" i="1"/>
  <c r="B140" i="1"/>
  <c r="B148" i="1"/>
  <c r="B156" i="1"/>
  <c r="B164" i="1"/>
  <c r="B172" i="1"/>
  <c r="B180" i="1"/>
  <c r="B188" i="1"/>
  <c r="B196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8" i="1"/>
  <c r="B316" i="1"/>
  <c r="B324" i="1"/>
  <c r="B332" i="1"/>
  <c r="B340" i="1"/>
  <c r="B18" i="1"/>
  <c r="B32" i="1"/>
  <c r="B45" i="1"/>
  <c r="B57" i="1"/>
  <c r="B70" i="1"/>
  <c r="B82" i="1"/>
  <c r="B93" i="1"/>
  <c r="B101" i="1"/>
  <c r="B109" i="1"/>
  <c r="B117" i="1"/>
  <c r="B125" i="1"/>
  <c r="B133" i="1"/>
  <c r="B141" i="1"/>
  <c r="B149" i="1"/>
  <c r="B157" i="1"/>
  <c r="B165" i="1"/>
  <c r="B173" i="1"/>
  <c r="B181" i="1"/>
  <c r="B189" i="1"/>
  <c r="B197" i="1"/>
  <c r="B205" i="1"/>
  <c r="B213" i="1"/>
  <c r="B221" i="1"/>
  <c r="B229" i="1"/>
  <c r="B237" i="1"/>
  <c r="B245" i="1"/>
  <c r="B253" i="1"/>
  <c r="B261" i="1"/>
  <c r="B269" i="1"/>
  <c r="B277" i="1"/>
  <c r="B285" i="1"/>
  <c r="B293" i="1"/>
  <c r="B301" i="1"/>
  <c r="B309" i="1"/>
  <c r="B317" i="1"/>
  <c r="B325" i="1"/>
  <c r="B333" i="1"/>
  <c r="B341" i="1"/>
  <c r="B21" i="1"/>
  <c r="B33" i="1"/>
  <c r="B46" i="1"/>
  <c r="B58" i="1"/>
  <c r="B72" i="1"/>
  <c r="B85" i="1"/>
  <c r="B94" i="1"/>
  <c r="B102" i="1"/>
  <c r="B110" i="1"/>
  <c r="B118" i="1"/>
  <c r="B126" i="1"/>
  <c r="B134" i="1"/>
  <c r="B142" i="1"/>
  <c r="B150" i="1"/>
  <c r="B158" i="1"/>
  <c r="B166" i="1"/>
  <c r="B174" i="1"/>
  <c r="B182" i="1"/>
  <c r="B190" i="1"/>
  <c r="B198" i="1"/>
  <c r="B206" i="1"/>
  <c r="B214" i="1"/>
  <c r="B222" i="1"/>
  <c r="B22" i="1"/>
  <c r="B34" i="1"/>
  <c r="B48" i="1"/>
  <c r="B61" i="1"/>
  <c r="B73" i="1"/>
  <c r="B86" i="1"/>
  <c r="B95" i="1"/>
  <c r="B103" i="1"/>
  <c r="B111" i="1"/>
  <c r="B119" i="1"/>
  <c r="B127" i="1"/>
  <c r="B135" i="1"/>
  <c r="B143" i="1"/>
  <c r="B151" i="1"/>
  <c r="B159" i="1"/>
  <c r="B167" i="1"/>
  <c r="B175" i="1"/>
  <c r="B183" i="1"/>
  <c r="B191" i="1"/>
  <c r="B199" i="1"/>
  <c r="B207" i="1"/>
  <c r="B215" i="1"/>
  <c r="B223" i="1"/>
  <c r="B231" i="1"/>
  <c r="B239" i="1"/>
  <c r="B247" i="1"/>
  <c r="B255" i="1"/>
  <c r="B263" i="1"/>
  <c r="B271" i="1"/>
  <c r="B279" i="1"/>
  <c r="B287" i="1"/>
  <c r="B295" i="1"/>
  <c r="B303" i="1"/>
  <c r="B311" i="1"/>
  <c r="B319" i="1"/>
  <c r="B327" i="1"/>
  <c r="B335" i="1"/>
  <c r="B343" i="1"/>
  <c r="B13" i="1"/>
  <c r="B25" i="1"/>
  <c r="B38" i="1"/>
  <c r="B50" i="1"/>
  <c r="B64" i="1"/>
  <c r="B77" i="1"/>
  <c r="B89" i="1"/>
  <c r="B97" i="1"/>
  <c r="B105" i="1"/>
  <c r="B113" i="1"/>
  <c r="B121" i="1"/>
  <c r="B129" i="1"/>
  <c r="B137" i="1"/>
  <c r="B145" i="1"/>
  <c r="B153" i="1"/>
  <c r="B161" i="1"/>
  <c r="B169" i="1"/>
  <c r="B177" i="1"/>
  <c r="B185" i="1"/>
  <c r="B193" i="1"/>
  <c r="B201" i="1"/>
  <c r="B209" i="1"/>
  <c r="B217" i="1"/>
  <c r="B225" i="1"/>
  <c r="B606" i="1"/>
  <c r="B598" i="1"/>
  <c r="B590" i="1"/>
  <c r="B582" i="1"/>
  <c r="B574" i="1"/>
  <c r="B566" i="1"/>
  <c r="B558" i="1"/>
  <c r="B550" i="1"/>
  <c r="B542" i="1"/>
  <c r="B534" i="1"/>
  <c r="B526" i="1"/>
  <c r="B518" i="1"/>
  <c r="B510" i="1"/>
  <c r="B502" i="1"/>
  <c r="B494" i="1"/>
  <c r="B486" i="1"/>
  <c r="B478" i="1"/>
  <c r="B470" i="1"/>
  <c r="B462" i="1"/>
  <c r="B454" i="1"/>
  <c r="B446" i="1"/>
  <c r="B438" i="1"/>
  <c r="B430" i="1"/>
  <c r="B422" i="1"/>
  <c r="B414" i="1"/>
  <c r="B406" i="1"/>
  <c r="B398" i="1"/>
  <c r="B390" i="1"/>
  <c r="B382" i="1"/>
  <c r="B374" i="1"/>
  <c r="B366" i="1"/>
  <c r="B358" i="1"/>
  <c r="B350" i="1"/>
  <c r="B338" i="1"/>
  <c r="B322" i="1"/>
  <c r="B304" i="1"/>
  <c r="B281" i="1"/>
  <c r="B262" i="1"/>
  <c r="B240" i="1"/>
  <c r="B200" i="1"/>
  <c r="B136" i="1"/>
  <c r="B62" i="1"/>
  <c r="B482" i="1"/>
  <c r="B426" i="1"/>
  <c r="B378" i="1"/>
  <c r="B313" i="1"/>
  <c r="B168" i="1"/>
  <c r="B600" i="1"/>
  <c r="B568" i="1"/>
  <c r="B605" i="1"/>
  <c r="B597" i="1"/>
  <c r="B589" i="1"/>
  <c r="B581" i="1"/>
  <c r="B573" i="1"/>
  <c r="B565" i="1"/>
  <c r="B557" i="1"/>
  <c r="B549" i="1"/>
  <c r="B541" i="1"/>
  <c r="B533" i="1"/>
  <c r="B525" i="1"/>
  <c r="B517" i="1"/>
  <c r="B509" i="1"/>
  <c r="B501" i="1"/>
  <c r="B493" i="1"/>
  <c r="B485" i="1"/>
  <c r="B477" i="1"/>
  <c r="B469" i="1"/>
  <c r="B461" i="1"/>
  <c r="B453" i="1"/>
  <c r="B445" i="1"/>
  <c r="B437" i="1"/>
  <c r="B429" i="1"/>
  <c r="B421" i="1"/>
  <c r="B413" i="1"/>
  <c r="B405" i="1"/>
  <c r="B397" i="1"/>
  <c r="B389" i="1"/>
  <c r="B381" i="1"/>
  <c r="B373" i="1"/>
  <c r="B365" i="1"/>
  <c r="B357" i="1"/>
  <c r="B349" i="1"/>
  <c r="B337" i="1"/>
  <c r="B321" i="1"/>
  <c r="B302" i="1"/>
  <c r="B280" i="1"/>
  <c r="B257" i="1"/>
  <c r="B238" i="1"/>
  <c r="B192" i="1"/>
  <c r="B128" i="1"/>
  <c r="B49" i="1"/>
  <c r="B450" i="1"/>
  <c r="B402" i="1"/>
  <c r="B330" i="1"/>
  <c r="B609" i="1"/>
  <c r="B11" i="1"/>
  <c r="B604" i="1"/>
  <c r="B596" i="1"/>
  <c r="B588" i="1"/>
  <c r="B580" i="1"/>
  <c r="B572" i="1"/>
  <c r="B564" i="1"/>
  <c r="B556" i="1"/>
  <c r="B548" i="1"/>
  <c r="B540" i="1"/>
  <c r="B532" i="1"/>
  <c r="B524" i="1"/>
  <c r="B516" i="1"/>
  <c r="B508" i="1"/>
  <c r="B500" i="1"/>
  <c r="B492" i="1"/>
  <c r="B484" i="1"/>
  <c r="B476" i="1"/>
  <c r="B468" i="1"/>
  <c r="B460" i="1"/>
  <c r="B452" i="1"/>
  <c r="B444" i="1"/>
  <c r="B436" i="1"/>
  <c r="B428" i="1"/>
  <c r="B420" i="1"/>
  <c r="B412" i="1"/>
  <c r="B404" i="1"/>
  <c r="B396" i="1"/>
  <c r="B388" i="1"/>
  <c r="B380" i="1"/>
  <c r="B372" i="1"/>
  <c r="B364" i="1"/>
  <c r="B356" i="1"/>
  <c r="B348" i="1"/>
  <c r="B336" i="1"/>
  <c r="B320" i="1"/>
  <c r="B297" i="1"/>
  <c r="B278" i="1"/>
  <c r="B256" i="1"/>
  <c r="B233" i="1"/>
  <c r="B184" i="1"/>
  <c r="B120" i="1"/>
  <c r="B37" i="1"/>
  <c r="F2" i="1"/>
  <c r="C12" i="1" l="1"/>
  <c r="C20" i="1"/>
  <c r="C28" i="1"/>
  <c r="C36" i="1"/>
  <c r="C44" i="1"/>
  <c r="C52" i="1"/>
  <c r="C60" i="1"/>
  <c r="C68" i="1"/>
  <c r="C76" i="1"/>
  <c r="C84" i="1"/>
  <c r="C92" i="1"/>
  <c r="C100" i="1"/>
  <c r="C108" i="1"/>
  <c r="C116" i="1"/>
  <c r="C124" i="1"/>
  <c r="C132" i="1"/>
  <c r="C140" i="1"/>
  <c r="C148" i="1"/>
  <c r="C156" i="1"/>
  <c r="C164" i="1"/>
  <c r="C172" i="1"/>
  <c r="C180" i="1"/>
  <c r="C188" i="1"/>
  <c r="C196" i="1"/>
  <c r="C204" i="1"/>
  <c r="C212" i="1"/>
  <c r="C220" i="1"/>
  <c r="C228" i="1"/>
  <c r="C236" i="1"/>
  <c r="C244" i="1"/>
  <c r="C252" i="1"/>
  <c r="C260" i="1"/>
  <c r="C268" i="1"/>
  <c r="C276" i="1"/>
  <c r="C284" i="1"/>
  <c r="C292" i="1"/>
  <c r="C300" i="1"/>
  <c r="C308" i="1"/>
  <c r="C316" i="1"/>
  <c r="C324" i="1"/>
  <c r="C332" i="1"/>
  <c r="C340" i="1"/>
  <c r="C348" i="1"/>
  <c r="C356" i="1"/>
  <c r="C364" i="1"/>
  <c r="C372" i="1"/>
  <c r="C380" i="1"/>
  <c r="C388" i="1"/>
  <c r="C396" i="1"/>
  <c r="C404" i="1"/>
  <c r="C412" i="1"/>
  <c r="C420" i="1"/>
  <c r="C428" i="1"/>
  <c r="C436" i="1"/>
  <c r="C444" i="1"/>
  <c r="C452" i="1"/>
  <c r="C460" i="1"/>
  <c r="C468" i="1"/>
  <c r="C476" i="1"/>
  <c r="C484" i="1"/>
  <c r="C492" i="1"/>
  <c r="C500" i="1"/>
  <c r="C508" i="1"/>
  <c r="C516" i="1"/>
  <c r="C524" i="1"/>
  <c r="C532" i="1"/>
  <c r="C540" i="1"/>
  <c r="C548" i="1"/>
  <c r="C556" i="1"/>
  <c r="C564" i="1"/>
  <c r="C572" i="1"/>
  <c r="C580" i="1"/>
  <c r="C588" i="1"/>
  <c r="C596" i="1"/>
  <c r="C604" i="1"/>
  <c r="C11" i="1"/>
  <c r="C13" i="1"/>
  <c r="C21" i="1"/>
  <c r="C29" i="1"/>
  <c r="C37" i="1"/>
  <c r="C45" i="1"/>
  <c r="C53" i="1"/>
  <c r="C61" i="1"/>
  <c r="C69" i="1"/>
  <c r="C77" i="1"/>
  <c r="C85" i="1"/>
  <c r="C93" i="1"/>
  <c r="C101" i="1"/>
  <c r="C109" i="1"/>
  <c r="C117" i="1"/>
  <c r="C125" i="1"/>
  <c r="C133" i="1"/>
  <c r="C141" i="1"/>
  <c r="C149" i="1"/>
  <c r="C157" i="1"/>
  <c r="C165" i="1"/>
  <c r="C173" i="1"/>
  <c r="C181" i="1"/>
  <c r="C189" i="1"/>
  <c r="C197" i="1"/>
  <c r="C205" i="1"/>
  <c r="C213" i="1"/>
  <c r="C221" i="1"/>
  <c r="C229" i="1"/>
  <c r="C237" i="1"/>
  <c r="C245" i="1"/>
  <c r="C253" i="1"/>
  <c r="C261" i="1"/>
  <c r="C269" i="1"/>
  <c r="C277" i="1"/>
  <c r="C285" i="1"/>
  <c r="C293" i="1"/>
  <c r="C301" i="1"/>
  <c r="C309" i="1"/>
  <c r="C317" i="1"/>
  <c r="C325" i="1"/>
  <c r="C333" i="1"/>
  <c r="C341" i="1"/>
  <c r="C349" i="1"/>
  <c r="C357" i="1"/>
  <c r="C365" i="1"/>
  <c r="C373" i="1"/>
  <c r="C381" i="1"/>
  <c r="C389" i="1"/>
  <c r="C397" i="1"/>
  <c r="C405" i="1"/>
  <c r="C413" i="1"/>
  <c r="C421" i="1"/>
  <c r="C429" i="1"/>
  <c r="C437" i="1"/>
  <c r="C445" i="1"/>
  <c r="C453" i="1"/>
  <c r="C461" i="1"/>
  <c r="C469" i="1"/>
  <c r="C477" i="1"/>
  <c r="C485" i="1"/>
  <c r="C493" i="1"/>
  <c r="C501" i="1"/>
  <c r="C509" i="1"/>
  <c r="C517" i="1"/>
  <c r="C525" i="1"/>
  <c r="C533" i="1"/>
  <c r="C541" i="1"/>
  <c r="C549" i="1"/>
  <c r="C557" i="1"/>
  <c r="C565" i="1"/>
  <c r="C573" i="1"/>
  <c r="C581" i="1"/>
  <c r="C589" i="1"/>
  <c r="C597" i="1"/>
  <c r="C605" i="1"/>
  <c r="C16" i="1"/>
  <c r="C24" i="1"/>
  <c r="C32" i="1"/>
  <c r="C40" i="1"/>
  <c r="C48" i="1"/>
  <c r="C56" i="1"/>
  <c r="C64" i="1"/>
  <c r="C72" i="1"/>
  <c r="C80" i="1"/>
  <c r="C88" i="1"/>
  <c r="C96" i="1"/>
  <c r="C104" i="1"/>
  <c r="C112" i="1"/>
  <c r="C120" i="1"/>
  <c r="C128" i="1"/>
  <c r="C136" i="1"/>
  <c r="C144" i="1"/>
  <c r="C152" i="1"/>
  <c r="C160" i="1"/>
  <c r="C168" i="1"/>
  <c r="C176" i="1"/>
  <c r="C184" i="1"/>
  <c r="C192" i="1"/>
  <c r="C200" i="1"/>
  <c r="C208" i="1"/>
  <c r="C216" i="1"/>
  <c r="C224" i="1"/>
  <c r="C232" i="1"/>
  <c r="C240" i="1"/>
  <c r="C248" i="1"/>
  <c r="C256" i="1"/>
  <c r="C264" i="1"/>
  <c r="C272" i="1"/>
  <c r="C280" i="1"/>
  <c r="C288" i="1"/>
  <c r="C296" i="1"/>
  <c r="C304" i="1"/>
  <c r="C312" i="1"/>
  <c r="C320" i="1"/>
  <c r="C328" i="1"/>
  <c r="C336" i="1"/>
  <c r="C344" i="1"/>
  <c r="C352" i="1"/>
  <c r="C360" i="1"/>
  <c r="C368" i="1"/>
  <c r="C376" i="1"/>
  <c r="C384" i="1"/>
  <c r="C392" i="1"/>
  <c r="C400" i="1"/>
  <c r="C408" i="1"/>
  <c r="C416" i="1"/>
  <c r="C424" i="1"/>
  <c r="C432" i="1"/>
  <c r="C440" i="1"/>
  <c r="C448" i="1"/>
  <c r="C456" i="1"/>
  <c r="C464" i="1"/>
  <c r="C472" i="1"/>
  <c r="C480" i="1"/>
  <c r="C488" i="1"/>
  <c r="C496" i="1"/>
  <c r="C504" i="1"/>
  <c r="C512" i="1"/>
  <c r="C520" i="1"/>
  <c r="C528" i="1"/>
  <c r="C536" i="1"/>
  <c r="C544" i="1"/>
  <c r="C552" i="1"/>
  <c r="C560" i="1"/>
  <c r="C568" i="1"/>
  <c r="C576" i="1"/>
  <c r="C584" i="1"/>
  <c r="C592" i="1"/>
  <c r="C600" i="1"/>
  <c r="C608" i="1"/>
  <c r="C14" i="1"/>
  <c r="C26" i="1"/>
  <c r="C39" i="1"/>
  <c r="C51" i="1"/>
  <c r="C65" i="1"/>
  <c r="C78" i="1"/>
  <c r="C90" i="1"/>
  <c r="C103" i="1"/>
  <c r="C115" i="1"/>
  <c r="C129" i="1"/>
  <c r="C142" i="1"/>
  <c r="C154" i="1"/>
  <c r="C167" i="1"/>
  <c r="C179" i="1"/>
  <c r="C193" i="1"/>
  <c r="C206" i="1"/>
  <c r="C218" i="1"/>
  <c r="C231" i="1"/>
  <c r="C243" i="1"/>
  <c r="C257" i="1"/>
  <c r="C270" i="1"/>
  <c r="C282" i="1"/>
  <c r="C295" i="1"/>
  <c r="C307" i="1"/>
  <c r="C321" i="1"/>
  <c r="C334" i="1"/>
  <c r="C346" i="1"/>
  <c r="C359" i="1"/>
  <c r="C371" i="1"/>
  <c r="C385" i="1"/>
  <c r="C398" i="1"/>
  <c r="C410" i="1"/>
  <c r="C423" i="1"/>
  <c r="C435" i="1"/>
  <c r="C449" i="1"/>
  <c r="C462" i="1"/>
  <c r="C474" i="1"/>
  <c r="C487" i="1"/>
  <c r="C499" i="1"/>
  <c r="C513" i="1"/>
  <c r="C526" i="1"/>
  <c r="C538" i="1"/>
  <c r="C551" i="1"/>
  <c r="C563" i="1"/>
  <c r="C577" i="1"/>
  <c r="C590" i="1"/>
  <c r="C602" i="1"/>
  <c r="C15" i="1"/>
  <c r="C27" i="1"/>
  <c r="C41" i="1"/>
  <c r="C54" i="1"/>
  <c r="C66" i="1"/>
  <c r="C79" i="1"/>
  <c r="C91" i="1"/>
  <c r="C105" i="1"/>
  <c r="C118" i="1"/>
  <c r="C130" i="1"/>
  <c r="C143" i="1"/>
  <c r="C155" i="1"/>
  <c r="C169" i="1"/>
  <c r="C182" i="1"/>
  <c r="C194" i="1"/>
  <c r="C207" i="1"/>
  <c r="C219" i="1"/>
  <c r="C233" i="1"/>
  <c r="C246" i="1"/>
  <c r="C258" i="1"/>
  <c r="C271" i="1"/>
  <c r="C283" i="1"/>
  <c r="C297" i="1"/>
  <c r="C310" i="1"/>
  <c r="C322" i="1"/>
  <c r="C335" i="1"/>
  <c r="C347" i="1"/>
  <c r="C361" i="1"/>
  <c r="C374" i="1"/>
  <c r="C386" i="1"/>
  <c r="C399" i="1"/>
  <c r="C411" i="1"/>
  <c r="C425" i="1"/>
  <c r="C438" i="1"/>
  <c r="C450" i="1"/>
  <c r="C463" i="1"/>
  <c r="C475" i="1"/>
  <c r="C489" i="1"/>
  <c r="C502" i="1"/>
  <c r="C514" i="1"/>
  <c r="C527" i="1"/>
  <c r="C539" i="1"/>
  <c r="C553" i="1"/>
  <c r="C566" i="1"/>
  <c r="C578" i="1"/>
  <c r="C591" i="1"/>
  <c r="C603" i="1"/>
  <c r="C17" i="1"/>
  <c r="C30" i="1"/>
  <c r="C42" i="1"/>
  <c r="C55" i="1"/>
  <c r="C67" i="1"/>
  <c r="C81" i="1"/>
  <c r="C94" i="1"/>
  <c r="C106" i="1"/>
  <c r="C119" i="1"/>
  <c r="C131" i="1"/>
  <c r="C145" i="1"/>
  <c r="C158" i="1"/>
  <c r="C170" i="1"/>
  <c r="C183" i="1"/>
  <c r="C195" i="1"/>
  <c r="C209" i="1"/>
  <c r="C222" i="1"/>
  <c r="C234" i="1"/>
  <c r="C247" i="1"/>
  <c r="C259" i="1"/>
  <c r="C273" i="1"/>
  <c r="C286" i="1"/>
  <c r="C298" i="1"/>
  <c r="C311" i="1"/>
  <c r="C323" i="1"/>
  <c r="C337" i="1"/>
  <c r="C350" i="1"/>
  <c r="C362" i="1"/>
  <c r="C375" i="1"/>
  <c r="C387" i="1"/>
  <c r="C401" i="1"/>
  <c r="C414" i="1"/>
  <c r="C426" i="1"/>
  <c r="C439" i="1"/>
  <c r="C451" i="1"/>
  <c r="C465" i="1"/>
  <c r="C478" i="1"/>
  <c r="C490" i="1"/>
  <c r="C503" i="1"/>
  <c r="C515" i="1"/>
  <c r="C529" i="1"/>
  <c r="C542" i="1"/>
  <c r="C554" i="1"/>
  <c r="C567" i="1"/>
  <c r="C579" i="1"/>
  <c r="C593" i="1"/>
  <c r="C606" i="1"/>
  <c r="C18" i="1"/>
  <c r="C31" i="1"/>
  <c r="C43" i="1"/>
  <c r="C57" i="1"/>
  <c r="C70" i="1"/>
  <c r="C82" i="1"/>
  <c r="C95" i="1"/>
  <c r="C107" i="1"/>
  <c r="C121" i="1"/>
  <c r="C134" i="1"/>
  <c r="C146" i="1"/>
  <c r="C159" i="1"/>
  <c r="C171" i="1"/>
  <c r="C185" i="1"/>
  <c r="C198" i="1"/>
  <c r="C210" i="1"/>
  <c r="C223" i="1"/>
  <c r="C235" i="1"/>
  <c r="C249" i="1"/>
  <c r="C262" i="1"/>
  <c r="C274" i="1"/>
  <c r="C287" i="1"/>
  <c r="C299" i="1"/>
  <c r="C313" i="1"/>
  <c r="C326" i="1"/>
  <c r="C338" i="1"/>
  <c r="C351" i="1"/>
  <c r="C363" i="1"/>
  <c r="C377" i="1"/>
  <c r="C390" i="1"/>
  <c r="C402" i="1"/>
  <c r="C415" i="1"/>
  <c r="C427" i="1"/>
  <c r="C441" i="1"/>
  <c r="C454" i="1"/>
  <c r="C466" i="1"/>
  <c r="C479" i="1"/>
  <c r="C491" i="1"/>
  <c r="C505" i="1"/>
  <c r="C518" i="1"/>
  <c r="C530" i="1"/>
  <c r="C543" i="1"/>
  <c r="C555" i="1"/>
  <c r="C569" i="1"/>
  <c r="C582" i="1"/>
  <c r="C594" i="1"/>
  <c r="C607" i="1"/>
  <c r="C19" i="1"/>
  <c r="C33" i="1"/>
  <c r="C46" i="1"/>
  <c r="C58" i="1"/>
  <c r="C71" i="1"/>
  <c r="C83" i="1"/>
  <c r="C97" i="1"/>
  <c r="C110" i="1"/>
  <c r="C122" i="1"/>
  <c r="C135" i="1"/>
  <c r="C147" i="1"/>
  <c r="C161" i="1"/>
  <c r="C174" i="1"/>
  <c r="C186" i="1"/>
  <c r="C199" i="1"/>
  <c r="C211" i="1"/>
  <c r="C225" i="1"/>
  <c r="C238" i="1"/>
  <c r="C250" i="1"/>
  <c r="C263" i="1"/>
  <c r="C275" i="1"/>
  <c r="C289" i="1"/>
  <c r="C302" i="1"/>
  <c r="C314" i="1"/>
  <c r="C327" i="1"/>
  <c r="C339" i="1"/>
  <c r="C353" i="1"/>
  <c r="C366" i="1"/>
  <c r="C378" i="1"/>
  <c r="C391" i="1"/>
  <c r="C403" i="1"/>
  <c r="C417" i="1"/>
  <c r="C430" i="1"/>
  <c r="C442" i="1"/>
  <c r="C455" i="1"/>
  <c r="C467" i="1"/>
  <c r="C481" i="1"/>
  <c r="C494" i="1"/>
  <c r="C506" i="1"/>
  <c r="C519" i="1"/>
  <c r="C531" i="1"/>
  <c r="C545" i="1"/>
  <c r="C558" i="1"/>
  <c r="C570" i="1"/>
  <c r="C583" i="1"/>
  <c r="C595" i="1"/>
  <c r="C609" i="1"/>
  <c r="C22" i="1"/>
  <c r="C34" i="1"/>
  <c r="C47" i="1"/>
  <c r="C59" i="1"/>
  <c r="C73" i="1"/>
  <c r="C86" i="1"/>
  <c r="C98" i="1"/>
  <c r="C111" i="1"/>
  <c r="C123" i="1"/>
  <c r="C137" i="1"/>
  <c r="C150" i="1"/>
  <c r="C162" i="1"/>
  <c r="C175" i="1"/>
  <c r="C187" i="1"/>
  <c r="C201" i="1"/>
  <c r="C214" i="1"/>
  <c r="C226" i="1"/>
  <c r="C239" i="1"/>
  <c r="C251" i="1"/>
  <c r="C265" i="1"/>
  <c r="C278" i="1"/>
  <c r="C290" i="1"/>
  <c r="C303" i="1"/>
  <c r="C315" i="1"/>
  <c r="C329" i="1"/>
  <c r="C342" i="1"/>
  <c r="C354" i="1"/>
  <c r="C367" i="1"/>
  <c r="C379" i="1"/>
  <c r="C393" i="1"/>
  <c r="C406" i="1"/>
  <c r="C418" i="1"/>
  <c r="C431" i="1"/>
  <c r="C443" i="1"/>
  <c r="C457" i="1"/>
  <c r="C470" i="1"/>
  <c r="C482" i="1"/>
  <c r="C495" i="1"/>
  <c r="C507" i="1"/>
  <c r="C521" i="1"/>
  <c r="C534" i="1"/>
  <c r="C546" i="1"/>
  <c r="C559" i="1"/>
  <c r="C571" i="1"/>
  <c r="C585" i="1"/>
  <c r="C598" i="1"/>
  <c r="C610" i="1"/>
  <c r="C25" i="1"/>
  <c r="C38" i="1"/>
  <c r="C50" i="1"/>
  <c r="C63" i="1"/>
  <c r="C75" i="1"/>
  <c r="C89" i="1"/>
  <c r="C102" i="1"/>
  <c r="C114" i="1"/>
  <c r="C127" i="1"/>
  <c r="C139" i="1"/>
  <c r="C153" i="1"/>
  <c r="C166" i="1"/>
  <c r="C178" i="1"/>
  <c r="C191" i="1"/>
  <c r="C203" i="1"/>
  <c r="C217" i="1"/>
  <c r="C230" i="1"/>
  <c r="C242" i="1"/>
  <c r="C255" i="1"/>
  <c r="C267" i="1"/>
  <c r="C281" i="1"/>
  <c r="C294" i="1"/>
  <c r="C306" i="1"/>
  <c r="C319" i="1"/>
  <c r="C331" i="1"/>
  <c r="C345" i="1"/>
  <c r="C358" i="1"/>
  <c r="C370" i="1"/>
  <c r="C383" i="1"/>
  <c r="C395" i="1"/>
  <c r="C409" i="1"/>
  <c r="C422" i="1"/>
  <c r="C434" i="1"/>
  <c r="C447" i="1"/>
  <c r="C459" i="1"/>
  <c r="C473" i="1"/>
  <c r="C486" i="1"/>
  <c r="C498" i="1"/>
  <c r="C511" i="1"/>
  <c r="C523" i="1"/>
  <c r="C537" i="1"/>
  <c r="C550" i="1"/>
  <c r="C562" i="1"/>
  <c r="C575" i="1"/>
  <c r="C587" i="1"/>
  <c r="C601" i="1"/>
  <c r="C23" i="1"/>
  <c r="C126" i="1"/>
  <c r="C227" i="1"/>
  <c r="C330" i="1"/>
  <c r="C433" i="1"/>
  <c r="C535" i="1"/>
  <c r="C510" i="1"/>
  <c r="C35" i="1"/>
  <c r="C138" i="1"/>
  <c r="C241" i="1"/>
  <c r="C343" i="1"/>
  <c r="C446" i="1"/>
  <c r="C547" i="1"/>
  <c r="C99" i="1"/>
  <c r="C49" i="1"/>
  <c r="C151" i="1"/>
  <c r="C254" i="1"/>
  <c r="C355" i="1"/>
  <c r="C458" i="1"/>
  <c r="C561" i="1"/>
  <c r="C62" i="1"/>
  <c r="C163" i="1"/>
  <c r="C266" i="1"/>
  <c r="C369" i="1"/>
  <c r="C471" i="1"/>
  <c r="C574" i="1"/>
  <c r="C305" i="1"/>
  <c r="C611" i="1"/>
  <c r="C74" i="1"/>
  <c r="C177" i="1"/>
  <c r="C279" i="1"/>
  <c r="C382" i="1"/>
  <c r="C483" i="1"/>
  <c r="C586" i="1"/>
  <c r="C202" i="1"/>
  <c r="C87" i="1"/>
  <c r="C190" i="1"/>
  <c r="C291" i="1"/>
  <c r="C394" i="1"/>
  <c r="C497" i="1"/>
  <c r="C599" i="1"/>
  <c r="C407" i="1"/>
  <c r="C113" i="1"/>
  <c r="C215" i="1"/>
  <c r="C318" i="1"/>
  <c r="C419" i="1"/>
  <c r="C522" i="1"/>
  <c r="J2" i="1"/>
  <c r="J4" i="1" s="1"/>
  <c r="J1" i="1"/>
  <c r="O1" i="1" s="1"/>
  <c r="J3" i="1"/>
  <c r="J6" i="1" s="1"/>
  <c r="J7" i="1" s="1"/>
  <c r="J8" i="1" s="1"/>
</calcChain>
</file>

<file path=xl/sharedStrings.xml><?xml version="1.0" encoding="utf-8"?>
<sst xmlns="http://schemas.openxmlformats.org/spreadsheetml/2006/main" count="45" uniqueCount="33">
  <si>
    <t>Acceleration:</t>
  </si>
  <si>
    <t>Launch Height:</t>
  </si>
  <si>
    <t>Launch Angle:</t>
  </si>
  <si>
    <t>Initial Velocity:</t>
  </si>
  <si>
    <t>m/s</t>
  </si>
  <si>
    <t>degrees</t>
  </si>
  <si>
    <t>radians</t>
  </si>
  <si>
    <t>m/s^2</t>
  </si>
  <si>
    <t>(Initial x velocity) Ux:</t>
  </si>
  <si>
    <t>(Initial y velocity) Uy:</t>
  </si>
  <si>
    <t>Change in y displacement at crash:</t>
  </si>
  <si>
    <t>m</t>
  </si>
  <si>
    <t>Time of Flight:</t>
  </si>
  <si>
    <t>Final Velocity:</t>
  </si>
  <si>
    <t>Horizontal range:</t>
  </si>
  <si>
    <t>Final x velocity:</t>
  </si>
  <si>
    <t>Final y velocity:</t>
  </si>
  <si>
    <t>Final velocity angle:</t>
  </si>
  <si>
    <t>s</t>
  </si>
  <si>
    <t>Max height above start position:</t>
  </si>
  <si>
    <t>Max height from ground:</t>
  </si>
  <si>
    <t>(inverse tan )tan^-1(final x velocity / final y velocity)</t>
  </si>
  <si>
    <t>Time:</t>
  </si>
  <si>
    <t>Y position</t>
  </si>
  <si>
    <t>X position</t>
  </si>
  <si>
    <t>x=vt</t>
  </si>
  <si>
    <t>use +c to include the start height</t>
  </si>
  <si>
    <t>Illustration of the Projectile Motion at different time scales. Scroll Down and find a suitable time scale.</t>
  </si>
  <si>
    <t>(locked cell) Launch Angle:</t>
  </si>
  <si>
    <t>General Equations</t>
  </si>
  <si>
    <t>User note: Spreadsheet password is "physics" if any edits need to be made.</t>
  </si>
  <si>
    <t>Editable Cells</t>
  </si>
  <si>
    <t>Non Editable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</si>
</sst>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 applyProtection="1">
      <protection locked="0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65" fontId="0" fillId="0" borderId="0" xfId="0" applyNumberFormat="1"/>
    <xf numFmtId="164" fontId="0" fillId="0" borderId="0" xfId="0" applyNumberFormat="1"/>
    <xf numFmtId="0" fontId="1" fillId="4" borderId="0" xfId="0" applyFont="1" applyFill="1" applyAlignment="1">
      <alignment horizontal="center" vertical="center"/>
    </xf>
    <xf numFmtId="164" fontId="0" fillId="5" borderId="1" xfId="0" applyNumberFormat="1" applyFill="1" applyBorder="1"/>
    <xf numFmtId="0" fontId="0" fillId="5" borderId="1" xfId="0" applyFill="1" applyBorder="1"/>
    <xf numFmtId="0" fontId="1" fillId="2" borderId="0" xfId="0" applyFont="1" applyFill="1"/>
    <xf numFmtId="0" fontId="1" fillId="5" borderId="0" xfId="0" applyFont="1" applyFill="1" applyAlignment="1">
      <alignment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Sheet1!$B$11:$B$21</c:f>
              <c:numCache>
                <c:formatCode>0.000</c:formatCode>
                <c:ptCount val="1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</c:numCache>
            </c:numRef>
          </c:xVal>
          <c:yVal>
            <c:numRef>
              <c:f>Sheet1!$C$11:$C$21</c:f>
              <c:numCache>
                <c:formatCode>0.000</c:formatCode>
                <c:ptCount val="1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Sheet1!$B$11:$B$31</c:f>
              <c:numCache>
                <c:formatCode>0.000</c:formatCode>
                <c:ptCount val="2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</c:numCache>
            </c:numRef>
          </c:xVal>
          <c:yVal>
            <c:numRef>
              <c:f>Sheet1!$C$11:$C$31</c:f>
              <c:numCache>
                <c:formatCode>0.000</c:formatCode>
                <c:ptCount val="2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Sheet1!$B$11:$B$41</c:f>
              <c:numCache>
                <c:formatCode>0.000</c:formatCode>
                <c:ptCount val="3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</c:numCache>
            </c:numRef>
          </c:xVal>
          <c:yVal>
            <c:numRef>
              <c:f>Sheet1!$C$11:$C$41</c:f>
              <c:numCache>
                <c:formatCode>0.000</c:formatCode>
                <c:ptCount val="3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Sheet1!$B$11:$B$51</c:f>
              <c:numCache>
                <c:formatCode>0.000</c:formatCode>
                <c:ptCount val="4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</c:numCache>
            </c:numRef>
          </c:xVal>
          <c:yVal>
            <c:numRef>
              <c:f>Sheet1!$C$11:$C$51</c:f>
              <c:numCache>
                <c:formatCode>0.000</c:formatCode>
                <c:ptCount val="4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Sheet1!$B$11:$B$61</c:f>
              <c:numCache>
                <c:formatCode>0.000</c:formatCode>
                <c:ptCount val="5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</c:numCache>
            </c:numRef>
          </c:xVal>
          <c:yVal>
            <c:numRef>
              <c:f>Sheet1!$C$11:$C$61</c:f>
              <c:numCache>
                <c:formatCode>0.000</c:formatCode>
                <c:ptCount val="5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Sheet1!$B$11:$B$71</c:f>
              <c:numCache>
                <c:formatCode>0.000</c:formatCode>
                <c:ptCount val="6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</c:numCache>
            </c:numRef>
          </c:xVal>
          <c:yVal>
            <c:numRef>
              <c:f>Sheet1!$C$11:$C$71</c:f>
              <c:numCache>
                <c:formatCode>0.000</c:formatCode>
                <c:ptCount val="6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Sheet1!$B$11:$B$81</c:f>
              <c:numCache>
                <c:formatCode>0.000</c:formatCode>
                <c:ptCount val="7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</c:numCache>
            </c:numRef>
          </c:xVal>
          <c:yVal>
            <c:numRef>
              <c:f>Sheet1!$C$11:$C$81</c:f>
              <c:numCache>
                <c:formatCode>0.000</c:formatCode>
                <c:ptCount val="7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Sheet1!$B$11:$B$91</c:f>
              <c:numCache>
                <c:formatCode>0.000</c:formatCode>
                <c:ptCount val="8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</c:numCache>
            </c:numRef>
          </c:xVal>
          <c:yVal>
            <c:numRef>
              <c:f>Sheet1!$C$11:$C$91</c:f>
              <c:numCache>
                <c:formatCode>0.000</c:formatCode>
                <c:ptCount val="8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Sheet1!$B$11:$B$101</c:f>
              <c:numCache>
                <c:formatCode>0.000</c:formatCode>
                <c:ptCount val="9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</c:numCache>
            </c:numRef>
          </c:xVal>
          <c:yVal>
            <c:numRef>
              <c:f>Sheet1!$C$11:$C$101</c:f>
              <c:numCache>
                <c:formatCode>0.000</c:formatCode>
                <c:ptCount val="9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Sheet1!$B$11:$B$111</c:f>
              <c:numCache>
                <c:formatCode>0.000</c:formatCode>
                <c:ptCount val="10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</c:numCache>
            </c:numRef>
          </c:xVal>
          <c:yVal>
            <c:numRef>
              <c:f>Sheet1!$C$11:$C$111</c:f>
              <c:numCache>
                <c:formatCode>0.000</c:formatCode>
                <c:ptCount val="10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Sheet1!$B$11:$B$131</c:f>
              <c:numCache>
                <c:formatCode>0.000</c:formatCode>
                <c:ptCount val="12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</c:numCache>
            </c:numRef>
          </c:xVal>
          <c:yVal>
            <c:numRef>
              <c:f>Sheet1!$C$11:$C$131</c:f>
              <c:numCache>
                <c:formatCode>0.000</c:formatCode>
                <c:ptCount val="12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Sheet1!$B$11:$B$151</c:f>
              <c:numCache>
                <c:formatCode>0.000</c:formatCode>
                <c:ptCount val="14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</c:numCache>
            </c:numRef>
          </c:xVal>
          <c:yVal>
            <c:numRef>
              <c:f>Sheet1!$C$11:$C$151</c:f>
              <c:numCache>
                <c:formatCode>0.000</c:formatCode>
                <c:ptCount val="14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Sheet1!$B$11:$B$171</c:f>
              <c:numCache>
                <c:formatCode>0.000</c:formatCode>
                <c:ptCount val="16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  <c:pt idx="141">
                  <c:v>149.55308422095482</c:v>
                </c:pt>
                <c:pt idx="142">
                  <c:v>150.61374439273462</c:v>
                </c:pt>
                <c:pt idx="143">
                  <c:v>151.67440456451445</c:v>
                </c:pt>
                <c:pt idx="144">
                  <c:v>152.73506473629428</c:v>
                </c:pt>
                <c:pt idx="145">
                  <c:v>153.79572490807408</c:v>
                </c:pt>
                <c:pt idx="146">
                  <c:v>154.85638507985391</c:v>
                </c:pt>
                <c:pt idx="147">
                  <c:v>155.91704525163374</c:v>
                </c:pt>
                <c:pt idx="148">
                  <c:v>156.97770542341357</c:v>
                </c:pt>
                <c:pt idx="149">
                  <c:v>158.03836559519337</c:v>
                </c:pt>
                <c:pt idx="150">
                  <c:v>159.0990257669732</c:v>
                </c:pt>
                <c:pt idx="151">
                  <c:v>160.15968593875303</c:v>
                </c:pt>
                <c:pt idx="152">
                  <c:v>161.22034611053283</c:v>
                </c:pt>
                <c:pt idx="153">
                  <c:v>162.28100628231266</c:v>
                </c:pt>
                <c:pt idx="154">
                  <c:v>163.34166645409249</c:v>
                </c:pt>
                <c:pt idx="155">
                  <c:v>164.40232662587232</c:v>
                </c:pt>
                <c:pt idx="156">
                  <c:v>165.46298679765212</c:v>
                </c:pt>
                <c:pt idx="157">
                  <c:v>166.52364696943195</c:v>
                </c:pt>
                <c:pt idx="158">
                  <c:v>167.58430714121178</c:v>
                </c:pt>
                <c:pt idx="159">
                  <c:v>168.64496731299158</c:v>
                </c:pt>
                <c:pt idx="160">
                  <c:v>169.70562748477141</c:v>
                </c:pt>
              </c:numCache>
            </c:numRef>
          </c:xVal>
          <c:yVal>
            <c:numRef>
              <c:f>Sheet1!$C$11:$C$171</c:f>
              <c:numCache>
                <c:formatCode>0.000</c:formatCode>
                <c:ptCount val="16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  <c:pt idx="141">
                  <c:v>-815.6099657790453</c:v>
                </c:pt>
                <c:pt idx="142">
                  <c:v>-828.43045560726534</c:v>
                </c:pt>
                <c:pt idx="143">
                  <c:v>-841.34904543548578</c:v>
                </c:pt>
                <c:pt idx="144">
                  <c:v>-854.36573526370591</c:v>
                </c:pt>
                <c:pt idx="145">
                  <c:v>-867.48052509192598</c:v>
                </c:pt>
                <c:pt idx="146">
                  <c:v>-880.6934149201461</c:v>
                </c:pt>
                <c:pt idx="147">
                  <c:v>-894.00440474836614</c:v>
                </c:pt>
                <c:pt idx="148">
                  <c:v>-907.41349457658669</c:v>
                </c:pt>
                <c:pt idx="149">
                  <c:v>-920.92068440480682</c:v>
                </c:pt>
                <c:pt idx="150">
                  <c:v>-934.52597423302677</c:v>
                </c:pt>
                <c:pt idx="151">
                  <c:v>-948.229364061247</c:v>
                </c:pt>
                <c:pt idx="152">
                  <c:v>-962.03085388946715</c:v>
                </c:pt>
                <c:pt idx="153">
                  <c:v>-975.93044371768758</c:v>
                </c:pt>
                <c:pt idx="154">
                  <c:v>-989.92813354590783</c:v>
                </c:pt>
                <c:pt idx="155">
                  <c:v>-1004.0239233741277</c:v>
                </c:pt>
                <c:pt idx="156">
                  <c:v>-1018.217813202348</c:v>
                </c:pt>
                <c:pt idx="157">
                  <c:v>-1032.509803030568</c:v>
                </c:pt>
                <c:pt idx="158">
                  <c:v>-1046.8998928587885</c:v>
                </c:pt>
                <c:pt idx="159">
                  <c:v>-1061.3880826870084</c:v>
                </c:pt>
                <c:pt idx="160">
                  <c:v>-1075.9743725152287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Sheet1!$B$11:$B$191</c:f>
              <c:numCache>
                <c:formatCode>0.000</c:formatCode>
                <c:ptCount val="18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  <c:pt idx="141">
                  <c:v>149.55308422095482</c:v>
                </c:pt>
                <c:pt idx="142">
                  <c:v>150.61374439273462</c:v>
                </c:pt>
                <c:pt idx="143">
                  <c:v>151.67440456451445</c:v>
                </c:pt>
                <c:pt idx="144">
                  <c:v>152.73506473629428</c:v>
                </c:pt>
                <c:pt idx="145">
                  <c:v>153.79572490807408</c:v>
                </c:pt>
                <c:pt idx="146">
                  <c:v>154.85638507985391</c:v>
                </c:pt>
                <c:pt idx="147">
                  <c:v>155.91704525163374</c:v>
                </c:pt>
                <c:pt idx="148">
                  <c:v>156.97770542341357</c:v>
                </c:pt>
                <c:pt idx="149">
                  <c:v>158.03836559519337</c:v>
                </c:pt>
                <c:pt idx="150">
                  <c:v>159.0990257669732</c:v>
                </c:pt>
                <c:pt idx="151">
                  <c:v>160.15968593875303</c:v>
                </c:pt>
                <c:pt idx="152">
                  <c:v>161.22034611053283</c:v>
                </c:pt>
                <c:pt idx="153">
                  <c:v>162.28100628231266</c:v>
                </c:pt>
                <c:pt idx="154">
                  <c:v>163.34166645409249</c:v>
                </c:pt>
                <c:pt idx="155">
                  <c:v>164.40232662587232</c:v>
                </c:pt>
                <c:pt idx="156">
                  <c:v>165.46298679765212</c:v>
                </c:pt>
                <c:pt idx="157">
                  <c:v>166.52364696943195</c:v>
                </c:pt>
                <c:pt idx="158">
                  <c:v>167.58430714121178</c:v>
                </c:pt>
                <c:pt idx="159">
                  <c:v>168.64496731299158</c:v>
                </c:pt>
                <c:pt idx="160">
                  <c:v>169.70562748477141</c:v>
                </c:pt>
                <c:pt idx="161">
                  <c:v>170.76628765655124</c:v>
                </c:pt>
                <c:pt idx="162">
                  <c:v>171.82694782833104</c:v>
                </c:pt>
                <c:pt idx="163">
                  <c:v>172.88760800011087</c:v>
                </c:pt>
                <c:pt idx="164">
                  <c:v>173.94826817189067</c:v>
                </c:pt>
                <c:pt idx="165">
                  <c:v>175.0089283436705</c:v>
                </c:pt>
                <c:pt idx="166">
                  <c:v>176.06958851545036</c:v>
                </c:pt>
                <c:pt idx="167">
                  <c:v>177.13024868723016</c:v>
                </c:pt>
                <c:pt idx="168">
                  <c:v>178.19090885900999</c:v>
                </c:pt>
                <c:pt idx="169">
                  <c:v>179.2515690307898</c:v>
                </c:pt>
                <c:pt idx="170">
                  <c:v>180.31222920256963</c:v>
                </c:pt>
                <c:pt idx="171">
                  <c:v>181.37288937434946</c:v>
                </c:pt>
                <c:pt idx="172">
                  <c:v>182.43354954612926</c:v>
                </c:pt>
                <c:pt idx="173">
                  <c:v>183.49420971790909</c:v>
                </c:pt>
                <c:pt idx="174">
                  <c:v>184.55486988968889</c:v>
                </c:pt>
                <c:pt idx="175">
                  <c:v>185.61553006146875</c:v>
                </c:pt>
                <c:pt idx="176">
                  <c:v>186.67619023324858</c:v>
                </c:pt>
                <c:pt idx="177">
                  <c:v>187.73685040502838</c:v>
                </c:pt>
                <c:pt idx="178">
                  <c:v>188.79751057680821</c:v>
                </c:pt>
                <c:pt idx="179">
                  <c:v>189.85817074858801</c:v>
                </c:pt>
                <c:pt idx="180">
                  <c:v>190.91883092036784</c:v>
                </c:pt>
              </c:numCache>
            </c:numRef>
          </c:xVal>
          <c:yVal>
            <c:numRef>
              <c:f>Sheet1!$C$11:$C$191</c:f>
              <c:numCache>
                <c:formatCode>0.000</c:formatCode>
                <c:ptCount val="18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  <c:pt idx="141">
                  <c:v>-815.6099657790453</c:v>
                </c:pt>
                <c:pt idx="142">
                  <c:v>-828.43045560726534</c:v>
                </c:pt>
                <c:pt idx="143">
                  <c:v>-841.34904543548578</c:v>
                </c:pt>
                <c:pt idx="144">
                  <c:v>-854.36573526370591</c:v>
                </c:pt>
                <c:pt idx="145">
                  <c:v>-867.48052509192598</c:v>
                </c:pt>
                <c:pt idx="146">
                  <c:v>-880.6934149201461</c:v>
                </c:pt>
                <c:pt idx="147">
                  <c:v>-894.00440474836614</c:v>
                </c:pt>
                <c:pt idx="148">
                  <c:v>-907.41349457658669</c:v>
                </c:pt>
                <c:pt idx="149">
                  <c:v>-920.92068440480682</c:v>
                </c:pt>
                <c:pt idx="150">
                  <c:v>-934.52597423302677</c:v>
                </c:pt>
                <c:pt idx="151">
                  <c:v>-948.229364061247</c:v>
                </c:pt>
                <c:pt idx="152">
                  <c:v>-962.03085388946715</c:v>
                </c:pt>
                <c:pt idx="153">
                  <c:v>-975.93044371768758</c:v>
                </c:pt>
                <c:pt idx="154">
                  <c:v>-989.92813354590783</c:v>
                </c:pt>
                <c:pt idx="155">
                  <c:v>-1004.0239233741277</c:v>
                </c:pt>
                <c:pt idx="156">
                  <c:v>-1018.217813202348</c:v>
                </c:pt>
                <c:pt idx="157">
                  <c:v>-1032.509803030568</c:v>
                </c:pt>
                <c:pt idx="158">
                  <c:v>-1046.8998928587885</c:v>
                </c:pt>
                <c:pt idx="159">
                  <c:v>-1061.3880826870084</c:v>
                </c:pt>
                <c:pt idx="160">
                  <c:v>-1075.9743725152287</c:v>
                </c:pt>
                <c:pt idx="161">
                  <c:v>-1090.6587623434491</c:v>
                </c:pt>
                <c:pt idx="162">
                  <c:v>-1105.441252171669</c:v>
                </c:pt>
                <c:pt idx="163">
                  <c:v>-1120.3218419998893</c:v>
                </c:pt>
                <c:pt idx="164">
                  <c:v>-1135.3005318281093</c:v>
                </c:pt>
                <c:pt idx="165">
                  <c:v>-1150.3773216563295</c:v>
                </c:pt>
                <c:pt idx="166">
                  <c:v>-1165.5522114845501</c:v>
                </c:pt>
                <c:pt idx="167">
                  <c:v>-1180.8252013127699</c:v>
                </c:pt>
                <c:pt idx="168">
                  <c:v>-1196.1962911409901</c:v>
                </c:pt>
                <c:pt idx="169">
                  <c:v>-1211.66548096921</c:v>
                </c:pt>
                <c:pt idx="170">
                  <c:v>-1227.2327707974305</c:v>
                </c:pt>
                <c:pt idx="171">
                  <c:v>-1242.8981606256509</c:v>
                </c:pt>
                <c:pt idx="172">
                  <c:v>-1258.6616504538708</c:v>
                </c:pt>
                <c:pt idx="173">
                  <c:v>-1274.5232402820911</c:v>
                </c:pt>
                <c:pt idx="174">
                  <c:v>-1290.4829301103109</c:v>
                </c:pt>
                <c:pt idx="175">
                  <c:v>-1306.5407199385313</c:v>
                </c:pt>
                <c:pt idx="176">
                  <c:v>-1322.6966097667519</c:v>
                </c:pt>
                <c:pt idx="177">
                  <c:v>-1338.9505995949717</c:v>
                </c:pt>
                <c:pt idx="178">
                  <c:v>-1355.3026894231921</c:v>
                </c:pt>
                <c:pt idx="179">
                  <c:v>-1371.752879251412</c:v>
                </c:pt>
                <c:pt idx="180">
                  <c:v>-1388.3011690796322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Sheet1!$B$11:$B$211</c:f>
              <c:numCache>
                <c:formatCode>0.000</c:formatCode>
                <c:ptCount val="20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  <c:pt idx="141">
                  <c:v>149.55308422095482</c:v>
                </c:pt>
                <c:pt idx="142">
                  <c:v>150.61374439273462</c:v>
                </c:pt>
                <c:pt idx="143">
                  <c:v>151.67440456451445</c:v>
                </c:pt>
                <c:pt idx="144">
                  <c:v>152.73506473629428</c:v>
                </c:pt>
                <c:pt idx="145">
                  <c:v>153.79572490807408</c:v>
                </c:pt>
                <c:pt idx="146">
                  <c:v>154.85638507985391</c:v>
                </c:pt>
                <c:pt idx="147">
                  <c:v>155.91704525163374</c:v>
                </c:pt>
                <c:pt idx="148">
                  <c:v>156.97770542341357</c:v>
                </c:pt>
                <c:pt idx="149">
                  <c:v>158.03836559519337</c:v>
                </c:pt>
                <c:pt idx="150">
                  <c:v>159.0990257669732</c:v>
                </c:pt>
                <c:pt idx="151">
                  <c:v>160.15968593875303</c:v>
                </c:pt>
                <c:pt idx="152">
                  <c:v>161.22034611053283</c:v>
                </c:pt>
                <c:pt idx="153">
                  <c:v>162.28100628231266</c:v>
                </c:pt>
                <c:pt idx="154">
                  <c:v>163.34166645409249</c:v>
                </c:pt>
                <c:pt idx="155">
                  <c:v>164.40232662587232</c:v>
                </c:pt>
                <c:pt idx="156">
                  <c:v>165.46298679765212</c:v>
                </c:pt>
                <c:pt idx="157">
                  <c:v>166.52364696943195</c:v>
                </c:pt>
                <c:pt idx="158">
                  <c:v>167.58430714121178</c:v>
                </c:pt>
                <c:pt idx="159">
                  <c:v>168.64496731299158</c:v>
                </c:pt>
                <c:pt idx="160">
                  <c:v>169.70562748477141</c:v>
                </c:pt>
                <c:pt idx="161">
                  <c:v>170.76628765655124</c:v>
                </c:pt>
                <c:pt idx="162">
                  <c:v>171.82694782833104</c:v>
                </c:pt>
                <c:pt idx="163">
                  <c:v>172.88760800011087</c:v>
                </c:pt>
                <c:pt idx="164">
                  <c:v>173.94826817189067</c:v>
                </c:pt>
                <c:pt idx="165">
                  <c:v>175.0089283436705</c:v>
                </c:pt>
                <c:pt idx="166">
                  <c:v>176.06958851545036</c:v>
                </c:pt>
                <c:pt idx="167">
                  <c:v>177.13024868723016</c:v>
                </c:pt>
                <c:pt idx="168">
                  <c:v>178.19090885900999</c:v>
                </c:pt>
                <c:pt idx="169">
                  <c:v>179.2515690307898</c:v>
                </c:pt>
                <c:pt idx="170">
                  <c:v>180.31222920256963</c:v>
                </c:pt>
                <c:pt idx="171">
                  <c:v>181.37288937434946</c:v>
                </c:pt>
                <c:pt idx="172">
                  <c:v>182.43354954612926</c:v>
                </c:pt>
                <c:pt idx="173">
                  <c:v>183.49420971790909</c:v>
                </c:pt>
                <c:pt idx="174">
                  <c:v>184.55486988968889</c:v>
                </c:pt>
                <c:pt idx="175">
                  <c:v>185.61553006146875</c:v>
                </c:pt>
                <c:pt idx="176">
                  <c:v>186.67619023324858</c:v>
                </c:pt>
                <c:pt idx="177">
                  <c:v>187.73685040502838</c:v>
                </c:pt>
                <c:pt idx="178">
                  <c:v>188.79751057680821</c:v>
                </c:pt>
                <c:pt idx="179">
                  <c:v>189.85817074858801</c:v>
                </c:pt>
                <c:pt idx="180">
                  <c:v>190.91883092036784</c:v>
                </c:pt>
                <c:pt idx="181">
                  <c:v>191.97949109214767</c:v>
                </c:pt>
                <c:pt idx="182">
                  <c:v>193.04015126392747</c:v>
                </c:pt>
                <c:pt idx="183">
                  <c:v>194.1008114357073</c:v>
                </c:pt>
                <c:pt idx="184">
                  <c:v>195.1614716074871</c:v>
                </c:pt>
                <c:pt idx="185">
                  <c:v>196.22213177926693</c:v>
                </c:pt>
                <c:pt idx="186">
                  <c:v>197.28279195104679</c:v>
                </c:pt>
                <c:pt idx="187">
                  <c:v>198.34345212282659</c:v>
                </c:pt>
                <c:pt idx="188">
                  <c:v>199.40411229460642</c:v>
                </c:pt>
                <c:pt idx="189">
                  <c:v>200.46477246638622</c:v>
                </c:pt>
                <c:pt idx="190">
                  <c:v>201.52543263816605</c:v>
                </c:pt>
                <c:pt idx="191">
                  <c:v>202.58609280994588</c:v>
                </c:pt>
                <c:pt idx="192">
                  <c:v>203.64675298172568</c:v>
                </c:pt>
                <c:pt idx="193">
                  <c:v>204.70741315350551</c:v>
                </c:pt>
                <c:pt idx="194">
                  <c:v>205.76807332528531</c:v>
                </c:pt>
                <c:pt idx="195">
                  <c:v>206.82873349706517</c:v>
                </c:pt>
                <c:pt idx="196">
                  <c:v>207.889393668845</c:v>
                </c:pt>
                <c:pt idx="197">
                  <c:v>208.9500538406248</c:v>
                </c:pt>
                <c:pt idx="198">
                  <c:v>210.01071401240463</c:v>
                </c:pt>
                <c:pt idx="199">
                  <c:v>211.07137418418444</c:v>
                </c:pt>
                <c:pt idx="200">
                  <c:v>212.13203435596427</c:v>
                </c:pt>
              </c:numCache>
            </c:numRef>
          </c:xVal>
          <c:yVal>
            <c:numRef>
              <c:f>Sheet1!$C$11:$C$211</c:f>
              <c:numCache>
                <c:formatCode>0.000</c:formatCode>
                <c:ptCount val="20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  <c:pt idx="141">
                  <c:v>-815.6099657790453</c:v>
                </c:pt>
                <c:pt idx="142">
                  <c:v>-828.43045560726534</c:v>
                </c:pt>
                <c:pt idx="143">
                  <c:v>-841.34904543548578</c:v>
                </c:pt>
                <c:pt idx="144">
                  <c:v>-854.36573526370591</c:v>
                </c:pt>
                <c:pt idx="145">
                  <c:v>-867.48052509192598</c:v>
                </c:pt>
                <c:pt idx="146">
                  <c:v>-880.6934149201461</c:v>
                </c:pt>
                <c:pt idx="147">
                  <c:v>-894.00440474836614</c:v>
                </c:pt>
                <c:pt idx="148">
                  <c:v>-907.41349457658669</c:v>
                </c:pt>
                <c:pt idx="149">
                  <c:v>-920.92068440480682</c:v>
                </c:pt>
                <c:pt idx="150">
                  <c:v>-934.52597423302677</c:v>
                </c:pt>
                <c:pt idx="151">
                  <c:v>-948.229364061247</c:v>
                </c:pt>
                <c:pt idx="152">
                  <c:v>-962.03085388946715</c:v>
                </c:pt>
                <c:pt idx="153">
                  <c:v>-975.93044371768758</c:v>
                </c:pt>
                <c:pt idx="154">
                  <c:v>-989.92813354590783</c:v>
                </c:pt>
                <c:pt idx="155">
                  <c:v>-1004.0239233741277</c:v>
                </c:pt>
                <c:pt idx="156">
                  <c:v>-1018.217813202348</c:v>
                </c:pt>
                <c:pt idx="157">
                  <c:v>-1032.509803030568</c:v>
                </c:pt>
                <c:pt idx="158">
                  <c:v>-1046.8998928587885</c:v>
                </c:pt>
                <c:pt idx="159">
                  <c:v>-1061.3880826870084</c:v>
                </c:pt>
                <c:pt idx="160">
                  <c:v>-1075.9743725152287</c:v>
                </c:pt>
                <c:pt idx="161">
                  <c:v>-1090.6587623434491</c:v>
                </c:pt>
                <c:pt idx="162">
                  <c:v>-1105.441252171669</c:v>
                </c:pt>
                <c:pt idx="163">
                  <c:v>-1120.3218419998893</c:v>
                </c:pt>
                <c:pt idx="164">
                  <c:v>-1135.3005318281093</c:v>
                </c:pt>
                <c:pt idx="165">
                  <c:v>-1150.3773216563295</c:v>
                </c:pt>
                <c:pt idx="166">
                  <c:v>-1165.5522114845501</c:v>
                </c:pt>
                <c:pt idx="167">
                  <c:v>-1180.8252013127699</c:v>
                </c:pt>
                <c:pt idx="168">
                  <c:v>-1196.1962911409901</c:v>
                </c:pt>
                <c:pt idx="169">
                  <c:v>-1211.66548096921</c:v>
                </c:pt>
                <c:pt idx="170">
                  <c:v>-1227.2327707974305</c:v>
                </c:pt>
                <c:pt idx="171">
                  <c:v>-1242.8981606256509</c:v>
                </c:pt>
                <c:pt idx="172">
                  <c:v>-1258.6616504538708</c:v>
                </c:pt>
                <c:pt idx="173">
                  <c:v>-1274.5232402820911</c:v>
                </c:pt>
                <c:pt idx="174">
                  <c:v>-1290.4829301103109</c:v>
                </c:pt>
                <c:pt idx="175">
                  <c:v>-1306.5407199385313</c:v>
                </c:pt>
                <c:pt idx="176">
                  <c:v>-1322.6966097667519</c:v>
                </c:pt>
                <c:pt idx="177">
                  <c:v>-1338.9505995949717</c:v>
                </c:pt>
                <c:pt idx="178">
                  <c:v>-1355.3026894231921</c:v>
                </c:pt>
                <c:pt idx="179">
                  <c:v>-1371.752879251412</c:v>
                </c:pt>
                <c:pt idx="180">
                  <c:v>-1388.3011690796322</c:v>
                </c:pt>
                <c:pt idx="181">
                  <c:v>-1404.9475589078529</c:v>
                </c:pt>
                <c:pt idx="182">
                  <c:v>-1421.6920487360726</c:v>
                </c:pt>
                <c:pt idx="183">
                  <c:v>-1438.5346385642929</c:v>
                </c:pt>
                <c:pt idx="184">
                  <c:v>-1455.4753283925127</c:v>
                </c:pt>
                <c:pt idx="185">
                  <c:v>-1472.5141182207333</c:v>
                </c:pt>
                <c:pt idx="186">
                  <c:v>-1489.6510080489534</c:v>
                </c:pt>
                <c:pt idx="187">
                  <c:v>-1506.8859978771734</c:v>
                </c:pt>
                <c:pt idx="188">
                  <c:v>-1524.219087705394</c:v>
                </c:pt>
                <c:pt idx="189">
                  <c:v>-1541.6502775336135</c:v>
                </c:pt>
                <c:pt idx="190">
                  <c:v>-1559.1795673618342</c:v>
                </c:pt>
                <c:pt idx="191">
                  <c:v>-1576.8069571900546</c:v>
                </c:pt>
                <c:pt idx="192">
                  <c:v>-1594.5324470182743</c:v>
                </c:pt>
                <c:pt idx="193">
                  <c:v>-1612.3560368464946</c:v>
                </c:pt>
                <c:pt idx="194">
                  <c:v>-1630.2777266747146</c:v>
                </c:pt>
                <c:pt idx="195">
                  <c:v>-1648.297516502935</c:v>
                </c:pt>
                <c:pt idx="196">
                  <c:v>-1666.4154063311555</c:v>
                </c:pt>
                <c:pt idx="197">
                  <c:v>-1684.6313961593751</c:v>
                </c:pt>
                <c:pt idx="198">
                  <c:v>-1702.9454859875957</c:v>
                </c:pt>
                <c:pt idx="199">
                  <c:v>-1721.3576758158154</c:v>
                </c:pt>
                <c:pt idx="200">
                  <c:v>-1739.8679656440358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Sheet1!$B$11:$B$251</c:f>
              <c:numCache>
                <c:formatCode>0.000</c:formatCode>
                <c:ptCount val="24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  <c:pt idx="141">
                  <c:v>149.55308422095482</c:v>
                </c:pt>
                <c:pt idx="142">
                  <c:v>150.61374439273462</c:v>
                </c:pt>
                <c:pt idx="143">
                  <c:v>151.67440456451445</c:v>
                </c:pt>
                <c:pt idx="144">
                  <c:v>152.73506473629428</c:v>
                </c:pt>
                <c:pt idx="145">
                  <c:v>153.79572490807408</c:v>
                </c:pt>
                <c:pt idx="146">
                  <c:v>154.85638507985391</c:v>
                </c:pt>
                <c:pt idx="147">
                  <c:v>155.91704525163374</c:v>
                </c:pt>
                <c:pt idx="148">
                  <c:v>156.97770542341357</c:v>
                </c:pt>
                <c:pt idx="149">
                  <c:v>158.03836559519337</c:v>
                </c:pt>
                <c:pt idx="150">
                  <c:v>159.0990257669732</c:v>
                </c:pt>
                <c:pt idx="151">
                  <c:v>160.15968593875303</c:v>
                </c:pt>
                <c:pt idx="152">
                  <c:v>161.22034611053283</c:v>
                </c:pt>
                <c:pt idx="153">
                  <c:v>162.28100628231266</c:v>
                </c:pt>
                <c:pt idx="154">
                  <c:v>163.34166645409249</c:v>
                </c:pt>
                <c:pt idx="155">
                  <c:v>164.40232662587232</c:v>
                </c:pt>
                <c:pt idx="156">
                  <c:v>165.46298679765212</c:v>
                </c:pt>
                <c:pt idx="157">
                  <c:v>166.52364696943195</c:v>
                </c:pt>
                <c:pt idx="158">
                  <c:v>167.58430714121178</c:v>
                </c:pt>
                <c:pt idx="159">
                  <c:v>168.64496731299158</c:v>
                </c:pt>
                <c:pt idx="160">
                  <c:v>169.70562748477141</c:v>
                </c:pt>
                <c:pt idx="161">
                  <c:v>170.76628765655124</c:v>
                </c:pt>
                <c:pt idx="162">
                  <c:v>171.82694782833104</c:v>
                </c:pt>
                <c:pt idx="163">
                  <c:v>172.88760800011087</c:v>
                </c:pt>
                <c:pt idx="164">
                  <c:v>173.94826817189067</c:v>
                </c:pt>
                <c:pt idx="165">
                  <c:v>175.0089283436705</c:v>
                </c:pt>
                <c:pt idx="166">
                  <c:v>176.06958851545036</c:v>
                </c:pt>
                <c:pt idx="167">
                  <c:v>177.13024868723016</c:v>
                </c:pt>
                <c:pt idx="168">
                  <c:v>178.19090885900999</c:v>
                </c:pt>
                <c:pt idx="169">
                  <c:v>179.2515690307898</c:v>
                </c:pt>
                <c:pt idx="170">
                  <c:v>180.31222920256963</c:v>
                </c:pt>
                <c:pt idx="171">
                  <c:v>181.37288937434946</c:v>
                </c:pt>
                <c:pt idx="172">
                  <c:v>182.43354954612926</c:v>
                </c:pt>
                <c:pt idx="173">
                  <c:v>183.49420971790909</c:v>
                </c:pt>
                <c:pt idx="174">
                  <c:v>184.55486988968889</c:v>
                </c:pt>
                <c:pt idx="175">
                  <c:v>185.61553006146875</c:v>
                </c:pt>
                <c:pt idx="176">
                  <c:v>186.67619023324858</c:v>
                </c:pt>
                <c:pt idx="177">
                  <c:v>187.73685040502838</c:v>
                </c:pt>
                <c:pt idx="178">
                  <c:v>188.79751057680821</c:v>
                </c:pt>
                <c:pt idx="179">
                  <c:v>189.85817074858801</c:v>
                </c:pt>
                <c:pt idx="180">
                  <c:v>190.91883092036784</c:v>
                </c:pt>
                <c:pt idx="181">
                  <c:v>191.97949109214767</c:v>
                </c:pt>
                <c:pt idx="182">
                  <c:v>193.04015126392747</c:v>
                </c:pt>
                <c:pt idx="183">
                  <c:v>194.1008114357073</c:v>
                </c:pt>
                <c:pt idx="184">
                  <c:v>195.1614716074871</c:v>
                </c:pt>
                <c:pt idx="185">
                  <c:v>196.22213177926693</c:v>
                </c:pt>
                <c:pt idx="186">
                  <c:v>197.28279195104679</c:v>
                </c:pt>
                <c:pt idx="187">
                  <c:v>198.34345212282659</c:v>
                </c:pt>
                <c:pt idx="188">
                  <c:v>199.40411229460642</c:v>
                </c:pt>
                <c:pt idx="189">
                  <c:v>200.46477246638622</c:v>
                </c:pt>
                <c:pt idx="190">
                  <c:v>201.52543263816605</c:v>
                </c:pt>
                <c:pt idx="191">
                  <c:v>202.58609280994588</c:v>
                </c:pt>
                <c:pt idx="192">
                  <c:v>203.64675298172568</c:v>
                </c:pt>
                <c:pt idx="193">
                  <c:v>204.70741315350551</c:v>
                </c:pt>
                <c:pt idx="194">
                  <c:v>205.76807332528531</c:v>
                </c:pt>
                <c:pt idx="195">
                  <c:v>206.82873349706517</c:v>
                </c:pt>
                <c:pt idx="196">
                  <c:v>207.889393668845</c:v>
                </c:pt>
                <c:pt idx="197">
                  <c:v>208.9500538406248</c:v>
                </c:pt>
                <c:pt idx="198">
                  <c:v>210.01071401240463</c:v>
                </c:pt>
                <c:pt idx="199">
                  <c:v>211.07137418418444</c:v>
                </c:pt>
                <c:pt idx="200">
                  <c:v>212.13203435596427</c:v>
                </c:pt>
                <c:pt idx="201">
                  <c:v>213.1926945277441</c:v>
                </c:pt>
                <c:pt idx="202">
                  <c:v>214.2533546995239</c:v>
                </c:pt>
                <c:pt idx="203">
                  <c:v>215.31401487130373</c:v>
                </c:pt>
                <c:pt idx="204">
                  <c:v>216.37467504308353</c:v>
                </c:pt>
                <c:pt idx="205">
                  <c:v>217.43533521486336</c:v>
                </c:pt>
                <c:pt idx="206">
                  <c:v>218.49599538664322</c:v>
                </c:pt>
                <c:pt idx="207">
                  <c:v>219.55665555842302</c:v>
                </c:pt>
                <c:pt idx="208">
                  <c:v>220.61731573020285</c:v>
                </c:pt>
                <c:pt idx="209">
                  <c:v>221.67797590198265</c:v>
                </c:pt>
                <c:pt idx="210">
                  <c:v>222.73863607376248</c:v>
                </c:pt>
                <c:pt idx="211">
                  <c:v>223.79929624554231</c:v>
                </c:pt>
                <c:pt idx="212">
                  <c:v>224.85995641732211</c:v>
                </c:pt>
                <c:pt idx="213">
                  <c:v>225.92061658910194</c:v>
                </c:pt>
                <c:pt idx="214">
                  <c:v>226.98127676088174</c:v>
                </c:pt>
                <c:pt idx="215">
                  <c:v>228.0419369326616</c:v>
                </c:pt>
                <c:pt idx="216">
                  <c:v>229.10259710444143</c:v>
                </c:pt>
                <c:pt idx="217">
                  <c:v>230.16325727622123</c:v>
                </c:pt>
                <c:pt idx="218">
                  <c:v>231.22391744800106</c:v>
                </c:pt>
                <c:pt idx="219">
                  <c:v>232.28457761978086</c:v>
                </c:pt>
                <c:pt idx="220">
                  <c:v>233.34523779156069</c:v>
                </c:pt>
                <c:pt idx="221">
                  <c:v>234.40589796334052</c:v>
                </c:pt>
                <c:pt idx="222">
                  <c:v>235.46655813512032</c:v>
                </c:pt>
                <c:pt idx="223">
                  <c:v>236.52721830690015</c:v>
                </c:pt>
                <c:pt idx="224">
                  <c:v>237.58787847867995</c:v>
                </c:pt>
                <c:pt idx="225">
                  <c:v>238.64853865045978</c:v>
                </c:pt>
                <c:pt idx="226">
                  <c:v>239.70919882223964</c:v>
                </c:pt>
                <c:pt idx="227">
                  <c:v>240.76985899401944</c:v>
                </c:pt>
                <c:pt idx="228">
                  <c:v>241.83051916579927</c:v>
                </c:pt>
                <c:pt idx="229">
                  <c:v>242.89117933757908</c:v>
                </c:pt>
                <c:pt idx="230">
                  <c:v>243.9518395093589</c:v>
                </c:pt>
                <c:pt idx="231">
                  <c:v>245.01249968113873</c:v>
                </c:pt>
                <c:pt idx="232">
                  <c:v>246.07315985291854</c:v>
                </c:pt>
                <c:pt idx="233">
                  <c:v>247.13382002469837</c:v>
                </c:pt>
                <c:pt idx="234">
                  <c:v>248.19448019647817</c:v>
                </c:pt>
                <c:pt idx="235">
                  <c:v>249.25514036825803</c:v>
                </c:pt>
                <c:pt idx="236">
                  <c:v>250.31580054003786</c:v>
                </c:pt>
                <c:pt idx="237">
                  <c:v>251.37646071181766</c:v>
                </c:pt>
                <c:pt idx="238">
                  <c:v>252.43712088359749</c:v>
                </c:pt>
                <c:pt idx="239">
                  <c:v>253.49778105537729</c:v>
                </c:pt>
                <c:pt idx="240">
                  <c:v>254.55844122715712</c:v>
                </c:pt>
              </c:numCache>
            </c:numRef>
          </c:xVal>
          <c:yVal>
            <c:numRef>
              <c:f>Sheet1!$C$11:$C$251</c:f>
              <c:numCache>
                <c:formatCode>0.000</c:formatCode>
                <c:ptCount val="24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  <c:pt idx="141">
                  <c:v>-815.6099657790453</c:v>
                </c:pt>
                <c:pt idx="142">
                  <c:v>-828.43045560726534</c:v>
                </c:pt>
                <c:pt idx="143">
                  <c:v>-841.34904543548578</c:v>
                </c:pt>
                <c:pt idx="144">
                  <c:v>-854.36573526370591</c:v>
                </c:pt>
                <c:pt idx="145">
                  <c:v>-867.48052509192598</c:v>
                </c:pt>
                <c:pt idx="146">
                  <c:v>-880.6934149201461</c:v>
                </c:pt>
                <c:pt idx="147">
                  <c:v>-894.00440474836614</c:v>
                </c:pt>
                <c:pt idx="148">
                  <c:v>-907.41349457658669</c:v>
                </c:pt>
                <c:pt idx="149">
                  <c:v>-920.92068440480682</c:v>
                </c:pt>
                <c:pt idx="150">
                  <c:v>-934.52597423302677</c:v>
                </c:pt>
                <c:pt idx="151">
                  <c:v>-948.229364061247</c:v>
                </c:pt>
                <c:pt idx="152">
                  <c:v>-962.03085388946715</c:v>
                </c:pt>
                <c:pt idx="153">
                  <c:v>-975.93044371768758</c:v>
                </c:pt>
                <c:pt idx="154">
                  <c:v>-989.92813354590783</c:v>
                </c:pt>
                <c:pt idx="155">
                  <c:v>-1004.0239233741277</c:v>
                </c:pt>
                <c:pt idx="156">
                  <c:v>-1018.217813202348</c:v>
                </c:pt>
                <c:pt idx="157">
                  <c:v>-1032.509803030568</c:v>
                </c:pt>
                <c:pt idx="158">
                  <c:v>-1046.8998928587885</c:v>
                </c:pt>
                <c:pt idx="159">
                  <c:v>-1061.3880826870084</c:v>
                </c:pt>
                <c:pt idx="160">
                  <c:v>-1075.9743725152287</c:v>
                </c:pt>
                <c:pt idx="161">
                  <c:v>-1090.6587623434491</c:v>
                </c:pt>
                <c:pt idx="162">
                  <c:v>-1105.441252171669</c:v>
                </c:pt>
                <c:pt idx="163">
                  <c:v>-1120.3218419998893</c:v>
                </c:pt>
                <c:pt idx="164">
                  <c:v>-1135.3005318281093</c:v>
                </c:pt>
                <c:pt idx="165">
                  <c:v>-1150.3773216563295</c:v>
                </c:pt>
                <c:pt idx="166">
                  <c:v>-1165.5522114845501</c:v>
                </c:pt>
                <c:pt idx="167">
                  <c:v>-1180.8252013127699</c:v>
                </c:pt>
                <c:pt idx="168">
                  <c:v>-1196.1962911409901</c:v>
                </c:pt>
                <c:pt idx="169">
                  <c:v>-1211.66548096921</c:v>
                </c:pt>
                <c:pt idx="170">
                  <c:v>-1227.2327707974305</c:v>
                </c:pt>
                <c:pt idx="171">
                  <c:v>-1242.8981606256509</c:v>
                </c:pt>
                <c:pt idx="172">
                  <c:v>-1258.6616504538708</c:v>
                </c:pt>
                <c:pt idx="173">
                  <c:v>-1274.5232402820911</c:v>
                </c:pt>
                <c:pt idx="174">
                  <c:v>-1290.4829301103109</c:v>
                </c:pt>
                <c:pt idx="175">
                  <c:v>-1306.5407199385313</c:v>
                </c:pt>
                <c:pt idx="176">
                  <c:v>-1322.6966097667519</c:v>
                </c:pt>
                <c:pt idx="177">
                  <c:v>-1338.9505995949717</c:v>
                </c:pt>
                <c:pt idx="178">
                  <c:v>-1355.3026894231921</c:v>
                </c:pt>
                <c:pt idx="179">
                  <c:v>-1371.752879251412</c:v>
                </c:pt>
                <c:pt idx="180">
                  <c:v>-1388.3011690796322</c:v>
                </c:pt>
                <c:pt idx="181">
                  <c:v>-1404.9475589078529</c:v>
                </c:pt>
                <c:pt idx="182">
                  <c:v>-1421.6920487360726</c:v>
                </c:pt>
                <c:pt idx="183">
                  <c:v>-1438.5346385642929</c:v>
                </c:pt>
                <c:pt idx="184">
                  <c:v>-1455.4753283925127</c:v>
                </c:pt>
                <c:pt idx="185">
                  <c:v>-1472.5141182207333</c:v>
                </c:pt>
                <c:pt idx="186">
                  <c:v>-1489.6510080489534</c:v>
                </c:pt>
                <c:pt idx="187">
                  <c:v>-1506.8859978771734</c:v>
                </c:pt>
                <c:pt idx="188">
                  <c:v>-1524.219087705394</c:v>
                </c:pt>
                <c:pt idx="189">
                  <c:v>-1541.6502775336135</c:v>
                </c:pt>
                <c:pt idx="190">
                  <c:v>-1559.1795673618342</c:v>
                </c:pt>
                <c:pt idx="191">
                  <c:v>-1576.8069571900546</c:v>
                </c:pt>
                <c:pt idx="192">
                  <c:v>-1594.5324470182743</c:v>
                </c:pt>
                <c:pt idx="193">
                  <c:v>-1612.3560368464946</c:v>
                </c:pt>
                <c:pt idx="194">
                  <c:v>-1630.2777266747146</c:v>
                </c:pt>
                <c:pt idx="195">
                  <c:v>-1648.297516502935</c:v>
                </c:pt>
                <c:pt idx="196">
                  <c:v>-1666.4154063311555</c:v>
                </c:pt>
                <c:pt idx="197">
                  <c:v>-1684.6313961593751</c:v>
                </c:pt>
                <c:pt idx="198">
                  <c:v>-1702.9454859875957</c:v>
                </c:pt>
                <c:pt idx="199">
                  <c:v>-1721.3576758158154</c:v>
                </c:pt>
                <c:pt idx="200">
                  <c:v>-1739.8679656440358</c:v>
                </c:pt>
                <c:pt idx="201">
                  <c:v>-1758.4763554722563</c:v>
                </c:pt>
                <c:pt idx="202">
                  <c:v>-1777.1828453004759</c:v>
                </c:pt>
                <c:pt idx="203">
                  <c:v>-1795.9874351286965</c:v>
                </c:pt>
                <c:pt idx="204">
                  <c:v>-1814.8901249569165</c:v>
                </c:pt>
                <c:pt idx="205">
                  <c:v>-1833.8909147851368</c:v>
                </c:pt>
                <c:pt idx="206">
                  <c:v>-1852.9898046133571</c:v>
                </c:pt>
                <c:pt idx="207">
                  <c:v>-1872.1867944415769</c:v>
                </c:pt>
                <c:pt idx="208">
                  <c:v>-1891.4818842697973</c:v>
                </c:pt>
                <c:pt idx="209">
                  <c:v>-1910.8750740980174</c:v>
                </c:pt>
                <c:pt idx="210">
                  <c:v>-1930.3663639262377</c:v>
                </c:pt>
                <c:pt idx="211">
                  <c:v>-1949.9557537544579</c:v>
                </c:pt>
                <c:pt idx="212">
                  <c:v>-1969.643243582678</c:v>
                </c:pt>
                <c:pt idx="213">
                  <c:v>-1989.4288334108983</c:v>
                </c:pt>
                <c:pt idx="214">
                  <c:v>-2009.3125232391183</c:v>
                </c:pt>
                <c:pt idx="215">
                  <c:v>-2029.2943130673389</c:v>
                </c:pt>
                <c:pt idx="216">
                  <c:v>-2049.3742028955589</c:v>
                </c:pt>
                <c:pt idx="217">
                  <c:v>-2069.5521927237792</c:v>
                </c:pt>
                <c:pt idx="218">
                  <c:v>-2089.8282825519991</c:v>
                </c:pt>
                <c:pt idx="219">
                  <c:v>-2110.2024723802188</c:v>
                </c:pt>
                <c:pt idx="220">
                  <c:v>-2130.6747622084395</c:v>
                </c:pt>
                <c:pt idx="221">
                  <c:v>-2151.2451520366599</c:v>
                </c:pt>
                <c:pt idx="222">
                  <c:v>-2171.9136418648795</c:v>
                </c:pt>
                <c:pt idx="223">
                  <c:v>-2192.6802316931003</c:v>
                </c:pt>
                <c:pt idx="224">
                  <c:v>-2213.5449215213198</c:v>
                </c:pt>
                <c:pt idx="225">
                  <c:v>-2234.5077113495404</c:v>
                </c:pt>
                <c:pt idx="226">
                  <c:v>-2255.5686011777607</c:v>
                </c:pt>
                <c:pt idx="227">
                  <c:v>-2276.7275910059807</c:v>
                </c:pt>
                <c:pt idx="228">
                  <c:v>-2297.9846808342013</c:v>
                </c:pt>
                <c:pt idx="229">
                  <c:v>-2319.3398706624207</c:v>
                </c:pt>
                <c:pt idx="230">
                  <c:v>-2340.7931604906416</c:v>
                </c:pt>
                <c:pt idx="231">
                  <c:v>-2362.3445503188614</c:v>
                </c:pt>
                <c:pt idx="232">
                  <c:v>-2383.9940401470813</c:v>
                </c:pt>
                <c:pt idx="233">
                  <c:v>-2405.7416299753017</c:v>
                </c:pt>
                <c:pt idx="234">
                  <c:v>-2427.5873198035215</c:v>
                </c:pt>
                <c:pt idx="235">
                  <c:v>-2449.5311096317423</c:v>
                </c:pt>
                <c:pt idx="236">
                  <c:v>-2471.5729994599624</c:v>
                </c:pt>
                <c:pt idx="237">
                  <c:v>-2493.7129892881821</c:v>
                </c:pt>
                <c:pt idx="238">
                  <c:v>-2515.951079116403</c:v>
                </c:pt>
                <c:pt idx="239">
                  <c:v>-2538.2872689446226</c:v>
                </c:pt>
                <c:pt idx="240">
                  <c:v>-2560.7215587728433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Sheet1!$B$11:$B$291</c:f>
              <c:numCache>
                <c:formatCode>0.000</c:formatCode>
                <c:ptCount val="28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  <c:pt idx="141">
                  <c:v>149.55308422095482</c:v>
                </c:pt>
                <c:pt idx="142">
                  <c:v>150.61374439273462</c:v>
                </c:pt>
                <c:pt idx="143">
                  <c:v>151.67440456451445</c:v>
                </c:pt>
                <c:pt idx="144">
                  <c:v>152.73506473629428</c:v>
                </c:pt>
                <c:pt idx="145">
                  <c:v>153.79572490807408</c:v>
                </c:pt>
                <c:pt idx="146">
                  <c:v>154.85638507985391</c:v>
                </c:pt>
                <c:pt idx="147">
                  <c:v>155.91704525163374</c:v>
                </c:pt>
                <c:pt idx="148">
                  <c:v>156.97770542341357</c:v>
                </c:pt>
                <c:pt idx="149">
                  <c:v>158.03836559519337</c:v>
                </c:pt>
                <c:pt idx="150">
                  <c:v>159.0990257669732</c:v>
                </c:pt>
                <c:pt idx="151">
                  <c:v>160.15968593875303</c:v>
                </c:pt>
                <c:pt idx="152">
                  <c:v>161.22034611053283</c:v>
                </c:pt>
                <c:pt idx="153">
                  <c:v>162.28100628231266</c:v>
                </c:pt>
                <c:pt idx="154">
                  <c:v>163.34166645409249</c:v>
                </c:pt>
                <c:pt idx="155">
                  <c:v>164.40232662587232</c:v>
                </c:pt>
                <c:pt idx="156">
                  <c:v>165.46298679765212</c:v>
                </c:pt>
                <c:pt idx="157">
                  <c:v>166.52364696943195</c:v>
                </c:pt>
                <c:pt idx="158">
                  <c:v>167.58430714121178</c:v>
                </c:pt>
                <c:pt idx="159">
                  <c:v>168.64496731299158</c:v>
                </c:pt>
                <c:pt idx="160">
                  <c:v>169.70562748477141</c:v>
                </c:pt>
                <c:pt idx="161">
                  <c:v>170.76628765655124</c:v>
                </c:pt>
                <c:pt idx="162">
                  <c:v>171.82694782833104</c:v>
                </c:pt>
                <c:pt idx="163">
                  <c:v>172.88760800011087</c:v>
                </c:pt>
                <c:pt idx="164">
                  <c:v>173.94826817189067</c:v>
                </c:pt>
                <c:pt idx="165">
                  <c:v>175.0089283436705</c:v>
                </c:pt>
                <c:pt idx="166">
                  <c:v>176.06958851545036</c:v>
                </c:pt>
                <c:pt idx="167">
                  <c:v>177.13024868723016</c:v>
                </c:pt>
                <c:pt idx="168">
                  <c:v>178.19090885900999</c:v>
                </c:pt>
                <c:pt idx="169">
                  <c:v>179.2515690307898</c:v>
                </c:pt>
                <c:pt idx="170">
                  <c:v>180.31222920256963</c:v>
                </c:pt>
                <c:pt idx="171">
                  <c:v>181.37288937434946</c:v>
                </c:pt>
                <c:pt idx="172">
                  <c:v>182.43354954612926</c:v>
                </c:pt>
                <c:pt idx="173">
                  <c:v>183.49420971790909</c:v>
                </c:pt>
                <c:pt idx="174">
                  <c:v>184.55486988968889</c:v>
                </c:pt>
                <c:pt idx="175">
                  <c:v>185.61553006146875</c:v>
                </c:pt>
                <c:pt idx="176">
                  <c:v>186.67619023324858</c:v>
                </c:pt>
                <c:pt idx="177">
                  <c:v>187.73685040502838</c:v>
                </c:pt>
                <c:pt idx="178">
                  <c:v>188.79751057680821</c:v>
                </c:pt>
                <c:pt idx="179">
                  <c:v>189.85817074858801</c:v>
                </c:pt>
                <c:pt idx="180">
                  <c:v>190.91883092036784</c:v>
                </c:pt>
                <c:pt idx="181">
                  <c:v>191.97949109214767</c:v>
                </c:pt>
                <c:pt idx="182">
                  <c:v>193.04015126392747</c:v>
                </c:pt>
                <c:pt idx="183">
                  <c:v>194.1008114357073</c:v>
                </c:pt>
                <c:pt idx="184">
                  <c:v>195.1614716074871</c:v>
                </c:pt>
                <c:pt idx="185">
                  <c:v>196.22213177926693</c:v>
                </c:pt>
                <c:pt idx="186">
                  <c:v>197.28279195104679</c:v>
                </c:pt>
                <c:pt idx="187">
                  <c:v>198.34345212282659</c:v>
                </c:pt>
                <c:pt idx="188">
                  <c:v>199.40411229460642</c:v>
                </c:pt>
                <c:pt idx="189">
                  <c:v>200.46477246638622</c:v>
                </c:pt>
                <c:pt idx="190">
                  <c:v>201.52543263816605</c:v>
                </c:pt>
                <c:pt idx="191">
                  <c:v>202.58609280994588</c:v>
                </c:pt>
                <c:pt idx="192">
                  <c:v>203.64675298172568</c:v>
                </c:pt>
                <c:pt idx="193">
                  <c:v>204.70741315350551</c:v>
                </c:pt>
                <c:pt idx="194">
                  <c:v>205.76807332528531</c:v>
                </c:pt>
                <c:pt idx="195">
                  <c:v>206.82873349706517</c:v>
                </c:pt>
                <c:pt idx="196">
                  <c:v>207.889393668845</c:v>
                </c:pt>
                <c:pt idx="197">
                  <c:v>208.9500538406248</c:v>
                </c:pt>
                <c:pt idx="198">
                  <c:v>210.01071401240463</c:v>
                </c:pt>
                <c:pt idx="199">
                  <c:v>211.07137418418444</c:v>
                </c:pt>
                <c:pt idx="200">
                  <c:v>212.13203435596427</c:v>
                </c:pt>
                <c:pt idx="201">
                  <c:v>213.1926945277441</c:v>
                </c:pt>
                <c:pt idx="202">
                  <c:v>214.2533546995239</c:v>
                </c:pt>
                <c:pt idx="203">
                  <c:v>215.31401487130373</c:v>
                </c:pt>
                <c:pt idx="204">
                  <c:v>216.37467504308353</c:v>
                </c:pt>
                <c:pt idx="205">
                  <c:v>217.43533521486336</c:v>
                </c:pt>
                <c:pt idx="206">
                  <c:v>218.49599538664322</c:v>
                </c:pt>
                <c:pt idx="207">
                  <c:v>219.55665555842302</c:v>
                </c:pt>
                <c:pt idx="208">
                  <c:v>220.61731573020285</c:v>
                </c:pt>
                <c:pt idx="209">
                  <c:v>221.67797590198265</c:v>
                </c:pt>
                <c:pt idx="210">
                  <c:v>222.73863607376248</c:v>
                </c:pt>
                <c:pt idx="211">
                  <c:v>223.79929624554231</c:v>
                </c:pt>
                <c:pt idx="212">
                  <c:v>224.85995641732211</c:v>
                </c:pt>
                <c:pt idx="213">
                  <c:v>225.92061658910194</c:v>
                </c:pt>
                <c:pt idx="214">
                  <c:v>226.98127676088174</c:v>
                </c:pt>
                <c:pt idx="215">
                  <c:v>228.0419369326616</c:v>
                </c:pt>
                <c:pt idx="216">
                  <c:v>229.10259710444143</c:v>
                </c:pt>
                <c:pt idx="217">
                  <c:v>230.16325727622123</c:v>
                </c:pt>
                <c:pt idx="218">
                  <c:v>231.22391744800106</c:v>
                </c:pt>
                <c:pt idx="219">
                  <c:v>232.28457761978086</c:v>
                </c:pt>
                <c:pt idx="220">
                  <c:v>233.34523779156069</c:v>
                </c:pt>
                <c:pt idx="221">
                  <c:v>234.40589796334052</c:v>
                </c:pt>
                <c:pt idx="222">
                  <c:v>235.46655813512032</c:v>
                </c:pt>
                <c:pt idx="223">
                  <c:v>236.52721830690015</c:v>
                </c:pt>
                <c:pt idx="224">
                  <c:v>237.58787847867995</c:v>
                </c:pt>
                <c:pt idx="225">
                  <c:v>238.64853865045978</c:v>
                </c:pt>
                <c:pt idx="226">
                  <c:v>239.70919882223964</c:v>
                </c:pt>
                <c:pt idx="227">
                  <c:v>240.76985899401944</c:v>
                </c:pt>
                <c:pt idx="228">
                  <c:v>241.83051916579927</c:v>
                </c:pt>
                <c:pt idx="229">
                  <c:v>242.89117933757908</c:v>
                </c:pt>
                <c:pt idx="230">
                  <c:v>243.9518395093589</c:v>
                </c:pt>
                <c:pt idx="231">
                  <c:v>245.01249968113873</c:v>
                </c:pt>
                <c:pt idx="232">
                  <c:v>246.07315985291854</c:v>
                </c:pt>
                <c:pt idx="233">
                  <c:v>247.13382002469837</c:v>
                </c:pt>
                <c:pt idx="234">
                  <c:v>248.19448019647817</c:v>
                </c:pt>
                <c:pt idx="235">
                  <c:v>249.25514036825803</c:v>
                </c:pt>
                <c:pt idx="236">
                  <c:v>250.31580054003786</c:v>
                </c:pt>
                <c:pt idx="237">
                  <c:v>251.37646071181766</c:v>
                </c:pt>
                <c:pt idx="238">
                  <c:v>252.43712088359749</c:v>
                </c:pt>
                <c:pt idx="239">
                  <c:v>253.49778105537729</c:v>
                </c:pt>
                <c:pt idx="240">
                  <c:v>254.55844122715712</c:v>
                </c:pt>
                <c:pt idx="241">
                  <c:v>255.61910139893695</c:v>
                </c:pt>
                <c:pt idx="242">
                  <c:v>256.67976157071678</c:v>
                </c:pt>
                <c:pt idx="243">
                  <c:v>257.74042174249661</c:v>
                </c:pt>
                <c:pt idx="244">
                  <c:v>258.80108191427638</c:v>
                </c:pt>
                <c:pt idx="245">
                  <c:v>259.86174208605621</c:v>
                </c:pt>
                <c:pt idx="246">
                  <c:v>260.92240225783604</c:v>
                </c:pt>
                <c:pt idx="247">
                  <c:v>261.98306242961587</c:v>
                </c:pt>
                <c:pt idx="248">
                  <c:v>263.0437226013957</c:v>
                </c:pt>
                <c:pt idx="249">
                  <c:v>264.10438277317547</c:v>
                </c:pt>
                <c:pt idx="250">
                  <c:v>265.1650429449553</c:v>
                </c:pt>
                <c:pt idx="251">
                  <c:v>266.22570311673519</c:v>
                </c:pt>
                <c:pt idx="252">
                  <c:v>267.28636328851496</c:v>
                </c:pt>
                <c:pt idx="253">
                  <c:v>268.34702346029479</c:v>
                </c:pt>
                <c:pt idx="254">
                  <c:v>269.40768363207462</c:v>
                </c:pt>
                <c:pt idx="255">
                  <c:v>270.46834380385445</c:v>
                </c:pt>
                <c:pt idx="256">
                  <c:v>271.52900397563428</c:v>
                </c:pt>
                <c:pt idx="257">
                  <c:v>272.58966414741406</c:v>
                </c:pt>
                <c:pt idx="258">
                  <c:v>273.65032431919389</c:v>
                </c:pt>
                <c:pt idx="259">
                  <c:v>274.71098449097371</c:v>
                </c:pt>
                <c:pt idx="260">
                  <c:v>275.77164466275354</c:v>
                </c:pt>
                <c:pt idx="261">
                  <c:v>276.83230483453337</c:v>
                </c:pt>
                <c:pt idx="262">
                  <c:v>277.8929650063132</c:v>
                </c:pt>
                <c:pt idx="263">
                  <c:v>278.95362517809303</c:v>
                </c:pt>
                <c:pt idx="264">
                  <c:v>280.01428534987281</c:v>
                </c:pt>
                <c:pt idx="265">
                  <c:v>281.07494552165264</c:v>
                </c:pt>
                <c:pt idx="266">
                  <c:v>282.13560569343247</c:v>
                </c:pt>
                <c:pt idx="267">
                  <c:v>283.1962658652123</c:v>
                </c:pt>
                <c:pt idx="268">
                  <c:v>284.25692603699213</c:v>
                </c:pt>
                <c:pt idx="269">
                  <c:v>285.3175862087719</c:v>
                </c:pt>
                <c:pt idx="270">
                  <c:v>286.37824638055179</c:v>
                </c:pt>
                <c:pt idx="271">
                  <c:v>287.43890655233162</c:v>
                </c:pt>
                <c:pt idx="272">
                  <c:v>288.49956672411139</c:v>
                </c:pt>
                <c:pt idx="273">
                  <c:v>289.56022689589122</c:v>
                </c:pt>
                <c:pt idx="274">
                  <c:v>290.62088706767105</c:v>
                </c:pt>
                <c:pt idx="275">
                  <c:v>291.68154723945088</c:v>
                </c:pt>
                <c:pt idx="276">
                  <c:v>292.74220741123071</c:v>
                </c:pt>
                <c:pt idx="277">
                  <c:v>293.80286758301048</c:v>
                </c:pt>
                <c:pt idx="278">
                  <c:v>294.86352775479031</c:v>
                </c:pt>
                <c:pt idx="279">
                  <c:v>295.92418792657014</c:v>
                </c:pt>
                <c:pt idx="280">
                  <c:v>296.98484809834997</c:v>
                </c:pt>
              </c:numCache>
            </c:numRef>
          </c:xVal>
          <c:yVal>
            <c:numRef>
              <c:f>Sheet1!$C$11:$C$291</c:f>
              <c:numCache>
                <c:formatCode>0.000</c:formatCode>
                <c:ptCount val="28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  <c:pt idx="141">
                  <c:v>-815.6099657790453</c:v>
                </c:pt>
                <c:pt idx="142">
                  <c:v>-828.43045560726534</c:v>
                </c:pt>
                <c:pt idx="143">
                  <c:v>-841.34904543548578</c:v>
                </c:pt>
                <c:pt idx="144">
                  <c:v>-854.36573526370591</c:v>
                </c:pt>
                <c:pt idx="145">
                  <c:v>-867.48052509192598</c:v>
                </c:pt>
                <c:pt idx="146">
                  <c:v>-880.6934149201461</c:v>
                </c:pt>
                <c:pt idx="147">
                  <c:v>-894.00440474836614</c:v>
                </c:pt>
                <c:pt idx="148">
                  <c:v>-907.41349457658669</c:v>
                </c:pt>
                <c:pt idx="149">
                  <c:v>-920.92068440480682</c:v>
                </c:pt>
                <c:pt idx="150">
                  <c:v>-934.52597423302677</c:v>
                </c:pt>
                <c:pt idx="151">
                  <c:v>-948.229364061247</c:v>
                </c:pt>
                <c:pt idx="152">
                  <c:v>-962.03085388946715</c:v>
                </c:pt>
                <c:pt idx="153">
                  <c:v>-975.93044371768758</c:v>
                </c:pt>
                <c:pt idx="154">
                  <c:v>-989.92813354590783</c:v>
                </c:pt>
                <c:pt idx="155">
                  <c:v>-1004.0239233741277</c:v>
                </c:pt>
                <c:pt idx="156">
                  <c:v>-1018.217813202348</c:v>
                </c:pt>
                <c:pt idx="157">
                  <c:v>-1032.509803030568</c:v>
                </c:pt>
                <c:pt idx="158">
                  <c:v>-1046.8998928587885</c:v>
                </c:pt>
                <c:pt idx="159">
                  <c:v>-1061.3880826870084</c:v>
                </c:pt>
                <c:pt idx="160">
                  <c:v>-1075.9743725152287</c:v>
                </c:pt>
                <c:pt idx="161">
                  <c:v>-1090.6587623434491</c:v>
                </c:pt>
                <c:pt idx="162">
                  <c:v>-1105.441252171669</c:v>
                </c:pt>
                <c:pt idx="163">
                  <c:v>-1120.3218419998893</c:v>
                </c:pt>
                <c:pt idx="164">
                  <c:v>-1135.3005318281093</c:v>
                </c:pt>
                <c:pt idx="165">
                  <c:v>-1150.3773216563295</c:v>
                </c:pt>
                <c:pt idx="166">
                  <c:v>-1165.5522114845501</c:v>
                </c:pt>
                <c:pt idx="167">
                  <c:v>-1180.8252013127699</c:v>
                </c:pt>
                <c:pt idx="168">
                  <c:v>-1196.1962911409901</c:v>
                </c:pt>
                <c:pt idx="169">
                  <c:v>-1211.66548096921</c:v>
                </c:pt>
                <c:pt idx="170">
                  <c:v>-1227.2327707974305</c:v>
                </c:pt>
                <c:pt idx="171">
                  <c:v>-1242.8981606256509</c:v>
                </c:pt>
                <c:pt idx="172">
                  <c:v>-1258.6616504538708</c:v>
                </c:pt>
                <c:pt idx="173">
                  <c:v>-1274.5232402820911</c:v>
                </c:pt>
                <c:pt idx="174">
                  <c:v>-1290.4829301103109</c:v>
                </c:pt>
                <c:pt idx="175">
                  <c:v>-1306.5407199385313</c:v>
                </c:pt>
                <c:pt idx="176">
                  <c:v>-1322.6966097667519</c:v>
                </c:pt>
                <c:pt idx="177">
                  <c:v>-1338.9505995949717</c:v>
                </c:pt>
                <c:pt idx="178">
                  <c:v>-1355.3026894231921</c:v>
                </c:pt>
                <c:pt idx="179">
                  <c:v>-1371.752879251412</c:v>
                </c:pt>
                <c:pt idx="180">
                  <c:v>-1388.3011690796322</c:v>
                </c:pt>
                <c:pt idx="181">
                  <c:v>-1404.9475589078529</c:v>
                </c:pt>
                <c:pt idx="182">
                  <c:v>-1421.6920487360726</c:v>
                </c:pt>
                <c:pt idx="183">
                  <c:v>-1438.5346385642929</c:v>
                </c:pt>
                <c:pt idx="184">
                  <c:v>-1455.4753283925127</c:v>
                </c:pt>
                <c:pt idx="185">
                  <c:v>-1472.5141182207333</c:v>
                </c:pt>
                <c:pt idx="186">
                  <c:v>-1489.6510080489534</c:v>
                </c:pt>
                <c:pt idx="187">
                  <c:v>-1506.8859978771734</c:v>
                </c:pt>
                <c:pt idx="188">
                  <c:v>-1524.219087705394</c:v>
                </c:pt>
                <c:pt idx="189">
                  <c:v>-1541.6502775336135</c:v>
                </c:pt>
                <c:pt idx="190">
                  <c:v>-1559.1795673618342</c:v>
                </c:pt>
                <c:pt idx="191">
                  <c:v>-1576.8069571900546</c:v>
                </c:pt>
                <c:pt idx="192">
                  <c:v>-1594.5324470182743</c:v>
                </c:pt>
                <c:pt idx="193">
                  <c:v>-1612.3560368464946</c:v>
                </c:pt>
                <c:pt idx="194">
                  <c:v>-1630.2777266747146</c:v>
                </c:pt>
                <c:pt idx="195">
                  <c:v>-1648.297516502935</c:v>
                </c:pt>
                <c:pt idx="196">
                  <c:v>-1666.4154063311555</c:v>
                </c:pt>
                <c:pt idx="197">
                  <c:v>-1684.6313961593751</c:v>
                </c:pt>
                <c:pt idx="198">
                  <c:v>-1702.9454859875957</c:v>
                </c:pt>
                <c:pt idx="199">
                  <c:v>-1721.3576758158154</c:v>
                </c:pt>
                <c:pt idx="200">
                  <c:v>-1739.8679656440358</c:v>
                </c:pt>
                <c:pt idx="201">
                  <c:v>-1758.4763554722563</c:v>
                </c:pt>
                <c:pt idx="202">
                  <c:v>-1777.1828453004759</c:v>
                </c:pt>
                <c:pt idx="203">
                  <c:v>-1795.9874351286965</c:v>
                </c:pt>
                <c:pt idx="204">
                  <c:v>-1814.8901249569165</c:v>
                </c:pt>
                <c:pt idx="205">
                  <c:v>-1833.8909147851368</c:v>
                </c:pt>
                <c:pt idx="206">
                  <c:v>-1852.9898046133571</c:v>
                </c:pt>
                <c:pt idx="207">
                  <c:v>-1872.1867944415769</c:v>
                </c:pt>
                <c:pt idx="208">
                  <c:v>-1891.4818842697973</c:v>
                </c:pt>
                <c:pt idx="209">
                  <c:v>-1910.8750740980174</c:v>
                </c:pt>
                <c:pt idx="210">
                  <c:v>-1930.3663639262377</c:v>
                </c:pt>
                <c:pt idx="211">
                  <c:v>-1949.9557537544579</c:v>
                </c:pt>
                <c:pt idx="212">
                  <c:v>-1969.643243582678</c:v>
                </c:pt>
                <c:pt idx="213">
                  <c:v>-1989.4288334108983</c:v>
                </c:pt>
                <c:pt idx="214">
                  <c:v>-2009.3125232391183</c:v>
                </c:pt>
                <c:pt idx="215">
                  <c:v>-2029.2943130673389</c:v>
                </c:pt>
                <c:pt idx="216">
                  <c:v>-2049.3742028955589</c:v>
                </c:pt>
                <c:pt idx="217">
                  <c:v>-2069.5521927237792</c:v>
                </c:pt>
                <c:pt idx="218">
                  <c:v>-2089.8282825519991</c:v>
                </c:pt>
                <c:pt idx="219">
                  <c:v>-2110.2024723802188</c:v>
                </c:pt>
                <c:pt idx="220">
                  <c:v>-2130.6747622084395</c:v>
                </c:pt>
                <c:pt idx="221">
                  <c:v>-2151.2451520366599</c:v>
                </c:pt>
                <c:pt idx="222">
                  <c:v>-2171.9136418648795</c:v>
                </c:pt>
                <c:pt idx="223">
                  <c:v>-2192.6802316931003</c:v>
                </c:pt>
                <c:pt idx="224">
                  <c:v>-2213.5449215213198</c:v>
                </c:pt>
                <c:pt idx="225">
                  <c:v>-2234.5077113495404</c:v>
                </c:pt>
                <c:pt idx="226">
                  <c:v>-2255.5686011777607</c:v>
                </c:pt>
                <c:pt idx="227">
                  <c:v>-2276.7275910059807</c:v>
                </c:pt>
                <c:pt idx="228">
                  <c:v>-2297.9846808342013</c:v>
                </c:pt>
                <c:pt idx="229">
                  <c:v>-2319.3398706624207</c:v>
                </c:pt>
                <c:pt idx="230">
                  <c:v>-2340.7931604906416</c:v>
                </c:pt>
                <c:pt idx="231">
                  <c:v>-2362.3445503188614</c:v>
                </c:pt>
                <c:pt idx="232">
                  <c:v>-2383.9940401470813</c:v>
                </c:pt>
                <c:pt idx="233">
                  <c:v>-2405.7416299753017</c:v>
                </c:pt>
                <c:pt idx="234">
                  <c:v>-2427.5873198035215</c:v>
                </c:pt>
                <c:pt idx="235">
                  <c:v>-2449.5311096317423</c:v>
                </c:pt>
                <c:pt idx="236">
                  <c:v>-2471.5729994599624</c:v>
                </c:pt>
                <c:pt idx="237">
                  <c:v>-2493.7129892881821</c:v>
                </c:pt>
                <c:pt idx="238">
                  <c:v>-2515.951079116403</c:v>
                </c:pt>
                <c:pt idx="239">
                  <c:v>-2538.2872689446226</c:v>
                </c:pt>
                <c:pt idx="240">
                  <c:v>-2560.7215587728433</c:v>
                </c:pt>
                <c:pt idx="241">
                  <c:v>-2583.2539486010637</c:v>
                </c:pt>
                <c:pt idx="242">
                  <c:v>-2605.8844384292834</c:v>
                </c:pt>
                <c:pt idx="243">
                  <c:v>-2628.6130282575036</c:v>
                </c:pt>
                <c:pt idx="244">
                  <c:v>-2651.4397180857231</c:v>
                </c:pt>
                <c:pt idx="245">
                  <c:v>-2674.3645079139442</c:v>
                </c:pt>
                <c:pt idx="246">
                  <c:v>-2697.3873977421645</c:v>
                </c:pt>
                <c:pt idx="247">
                  <c:v>-2720.5083875703835</c:v>
                </c:pt>
                <c:pt idx="248">
                  <c:v>-2743.7274773986051</c:v>
                </c:pt>
                <c:pt idx="249">
                  <c:v>-2767.044667226824</c:v>
                </c:pt>
                <c:pt idx="250">
                  <c:v>-2790.4599570550445</c:v>
                </c:pt>
                <c:pt idx="251">
                  <c:v>-2813.9733468832655</c:v>
                </c:pt>
                <c:pt idx="252">
                  <c:v>-2837.584836711485</c:v>
                </c:pt>
                <c:pt idx="253">
                  <c:v>-2861.2944265397059</c:v>
                </c:pt>
                <c:pt idx="254">
                  <c:v>-2885.1021163679252</c:v>
                </c:pt>
                <c:pt idx="255">
                  <c:v>-2909.007906196146</c:v>
                </c:pt>
                <c:pt idx="256">
                  <c:v>-2933.0117960243665</c:v>
                </c:pt>
                <c:pt idx="257">
                  <c:v>-2957.1137858525863</c:v>
                </c:pt>
                <c:pt idx="258">
                  <c:v>-2981.3138756808062</c:v>
                </c:pt>
                <c:pt idx="259">
                  <c:v>-3005.6120655090263</c:v>
                </c:pt>
                <c:pt idx="260">
                  <c:v>-3030.0083553372469</c:v>
                </c:pt>
                <c:pt idx="261">
                  <c:v>-3054.5027451654669</c:v>
                </c:pt>
                <c:pt idx="262">
                  <c:v>-3079.0952349936865</c:v>
                </c:pt>
                <c:pt idx="263">
                  <c:v>-3103.7858248219077</c:v>
                </c:pt>
                <c:pt idx="264">
                  <c:v>-3128.5745146501272</c:v>
                </c:pt>
                <c:pt idx="265">
                  <c:v>-3153.4613044783473</c:v>
                </c:pt>
                <c:pt idx="266">
                  <c:v>-3178.446194306568</c:v>
                </c:pt>
                <c:pt idx="267">
                  <c:v>-3203.5291841347876</c:v>
                </c:pt>
                <c:pt idx="268">
                  <c:v>-3228.7102739630081</c:v>
                </c:pt>
                <c:pt idx="269">
                  <c:v>-3253.989463791228</c:v>
                </c:pt>
                <c:pt idx="270">
                  <c:v>-3279.3667536194484</c:v>
                </c:pt>
                <c:pt idx="271">
                  <c:v>-3304.8421434476691</c:v>
                </c:pt>
                <c:pt idx="272">
                  <c:v>-3330.4156332758885</c:v>
                </c:pt>
                <c:pt idx="273">
                  <c:v>-3356.0872231041094</c:v>
                </c:pt>
                <c:pt idx="274">
                  <c:v>-3381.8569129323287</c:v>
                </c:pt>
                <c:pt idx="275">
                  <c:v>-3407.724702760549</c:v>
                </c:pt>
                <c:pt idx="276">
                  <c:v>-3433.69059258877</c:v>
                </c:pt>
                <c:pt idx="277">
                  <c:v>-3459.7545824169893</c:v>
                </c:pt>
                <c:pt idx="278">
                  <c:v>-3485.9166722452101</c:v>
                </c:pt>
                <c:pt idx="279">
                  <c:v>-3512.1768620734301</c:v>
                </c:pt>
                <c:pt idx="280">
                  <c:v>-3538.5351519016499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Sheet1!$B$11:$B$331</c:f>
              <c:numCache>
                <c:formatCode>0.000</c:formatCode>
                <c:ptCount val="32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  <c:pt idx="141">
                  <c:v>149.55308422095482</c:v>
                </c:pt>
                <c:pt idx="142">
                  <c:v>150.61374439273462</c:v>
                </c:pt>
                <c:pt idx="143">
                  <c:v>151.67440456451445</c:v>
                </c:pt>
                <c:pt idx="144">
                  <c:v>152.73506473629428</c:v>
                </c:pt>
                <c:pt idx="145">
                  <c:v>153.79572490807408</c:v>
                </c:pt>
                <c:pt idx="146">
                  <c:v>154.85638507985391</c:v>
                </c:pt>
                <c:pt idx="147">
                  <c:v>155.91704525163374</c:v>
                </c:pt>
                <c:pt idx="148">
                  <c:v>156.97770542341357</c:v>
                </c:pt>
                <c:pt idx="149">
                  <c:v>158.03836559519337</c:v>
                </c:pt>
                <c:pt idx="150">
                  <c:v>159.0990257669732</c:v>
                </c:pt>
                <c:pt idx="151">
                  <c:v>160.15968593875303</c:v>
                </c:pt>
                <c:pt idx="152">
                  <c:v>161.22034611053283</c:v>
                </c:pt>
                <c:pt idx="153">
                  <c:v>162.28100628231266</c:v>
                </c:pt>
                <c:pt idx="154">
                  <c:v>163.34166645409249</c:v>
                </c:pt>
                <c:pt idx="155">
                  <c:v>164.40232662587232</c:v>
                </c:pt>
                <c:pt idx="156">
                  <c:v>165.46298679765212</c:v>
                </c:pt>
                <c:pt idx="157">
                  <c:v>166.52364696943195</c:v>
                </c:pt>
                <c:pt idx="158">
                  <c:v>167.58430714121178</c:v>
                </c:pt>
                <c:pt idx="159">
                  <c:v>168.64496731299158</c:v>
                </c:pt>
                <c:pt idx="160">
                  <c:v>169.70562748477141</c:v>
                </c:pt>
                <c:pt idx="161">
                  <c:v>170.76628765655124</c:v>
                </c:pt>
                <c:pt idx="162">
                  <c:v>171.82694782833104</c:v>
                </c:pt>
                <c:pt idx="163">
                  <c:v>172.88760800011087</c:v>
                </c:pt>
                <c:pt idx="164">
                  <c:v>173.94826817189067</c:v>
                </c:pt>
                <c:pt idx="165">
                  <c:v>175.0089283436705</c:v>
                </c:pt>
                <c:pt idx="166">
                  <c:v>176.06958851545036</c:v>
                </c:pt>
                <c:pt idx="167">
                  <c:v>177.13024868723016</c:v>
                </c:pt>
                <c:pt idx="168">
                  <c:v>178.19090885900999</c:v>
                </c:pt>
                <c:pt idx="169">
                  <c:v>179.2515690307898</c:v>
                </c:pt>
                <c:pt idx="170">
                  <c:v>180.31222920256963</c:v>
                </c:pt>
                <c:pt idx="171">
                  <c:v>181.37288937434946</c:v>
                </c:pt>
                <c:pt idx="172">
                  <c:v>182.43354954612926</c:v>
                </c:pt>
                <c:pt idx="173">
                  <c:v>183.49420971790909</c:v>
                </c:pt>
                <c:pt idx="174">
                  <c:v>184.55486988968889</c:v>
                </c:pt>
                <c:pt idx="175">
                  <c:v>185.61553006146875</c:v>
                </c:pt>
                <c:pt idx="176">
                  <c:v>186.67619023324858</c:v>
                </c:pt>
                <c:pt idx="177">
                  <c:v>187.73685040502838</c:v>
                </c:pt>
                <c:pt idx="178">
                  <c:v>188.79751057680821</c:v>
                </c:pt>
                <c:pt idx="179">
                  <c:v>189.85817074858801</c:v>
                </c:pt>
                <c:pt idx="180">
                  <c:v>190.91883092036784</c:v>
                </c:pt>
                <c:pt idx="181">
                  <c:v>191.97949109214767</c:v>
                </c:pt>
                <c:pt idx="182">
                  <c:v>193.04015126392747</c:v>
                </c:pt>
                <c:pt idx="183">
                  <c:v>194.1008114357073</c:v>
                </c:pt>
                <c:pt idx="184">
                  <c:v>195.1614716074871</c:v>
                </c:pt>
                <c:pt idx="185">
                  <c:v>196.22213177926693</c:v>
                </c:pt>
                <c:pt idx="186">
                  <c:v>197.28279195104679</c:v>
                </c:pt>
                <c:pt idx="187">
                  <c:v>198.34345212282659</c:v>
                </c:pt>
                <c:pt idx="188">
                  <c:v>199.40411229460642</c:v>
                </c:pt>
                <c:pt idx="189">
                  <c:v>200.46477246638622</c:v>
                </c:pt>
                <c:pt idx="190">
                  <c:v>201.52543263816605</c:v>
                </c:pt>
                <c:pt idx="191">
                  <c:v>202.58609280994588</c:v>
                </c:pt>
                <c:pt idx="192">
                  <c:v>203.64675298172568</c:v>
                </c:pt>
                <c:pt idx="193">
                  <c:v>204.70741315350551</c:v>
                </c:pt>
                <c:pt idx="194">
                  <c:v>205.76807332528531</c:v>
                </c:pt>
                <c:pt idx="195">
                  <c:v>206.82873349706517</c:v>
                </c:pt>
                <c:pt idx="196">
                  <c:v>207.889393668845</c:v>
                </c:pt>
                <c:pt idx="197">
                  <c:v>208.9500538406248</c:v>
                </c:pt>
                <c:pt idx="198">
                  <c:v>210.01071401240463</c:v>
                </c:pt>
                <c:pt idx="199">
                  <c:v>211.07137418418444</c:v>
                </c:pt>
                <c:pt idx="200">
                  <c:v>212.13203435596427</c:v>
                </c:pt>
                <c:pt idx="201">
                  <c:v>213.1926945277441</c:v>
                </c:pt>
                <c:pt idx="202">
                  <c:v>214.2533546995239</c:v>
                </c:pt>
                <c:pt idx="203">
                  <c:v>215.31401487130373</c:v>
                </c:pt>
                <c:pt idx="204">
                  <c:v>216.37467504308353</c:v>
                </c:pt>
                <c:pt idx="205">
                  <c:v>217.43533521486336</c:v>
                </c:pt>
                <c:pt idx="206">
                  <c:v>218.49599538664322</c:v>
                </c:pt>
                <c:pt idx="207">
                  <c:v>219.55665555842302</c:v>
                </c:pt>
                <c:pt idx="208">
                  <c:v>220.61731573020285</c:v>
                </c:pt>
                <c:pt idx="209">
                  <c:v>221.67797590198265</c:v>
                </c:pt>
                <c:pt idx="210">
                  <c:v>222.73863607376248</c:v>
                </c:pt>
                <c:pt idx="211">
                  <c:v>223.79929624554231</c:v>
                </c:pt>
                <c:pt idx="212">
                  <c:v>224.85995641732211</c:v>
                </c:pt>
                <c:pt idx="213">
                  <c:v>225.92061658910194</c:v>
                </c:pt>
                <c:pt idx="214">
                  <c:v>226.98127676088174</c:v>
                </c:pt>
                <c:pt idx="215">
                  <c:v>228.0419369326616</c:v>
                </c:pt>
                <c:pt idx="216">
                  <c:v>229.10259710444143</c:v>
                </c:pt>
                <c:pt idx="217">
                  <c:v>230.16325727622123</c:v>
                </c:pt>
                <c:pt idx="218">
                  <c:v>231.22391744800106</c:v>
                </c:pt>
                <c:pt idx="219">
                  <c:v>232.28457761978086</c:v>
                </c:pt>
                <c:pt idx="220">
                  <c:v>233.34523779156069</c:v>
                </c:pt>
                <c:pt idx="221">
                  <c:v>234.40589796334052</c:v>
                </c:pt>
                <c:pt idx="222">
                  <c:v>235.46655813512032</c:v>
                </c:pt>
                <c:pt idx="223">
                  <c:v>236.52721830690015</c:v>
                </c:pt>
                <c:pt idx="224">
                  <c:v>237.58787847867995</c:v>
                </c:pt>
                <c:pt idx="225">
                  <c:v>238.64853865045978</c:v>
                </c:pt>
                <c:pt idx="226">
                  <c:v>239.70919882223964</c:v>
                </c:pt>
                <c:pt idx="227">
                  <c:v>240.76985899401944</c:v>
                </c:pt>
                <c:pt idx="228">
                  <c:v>241.83051916579927</c:v>
                </c:pt>
                <c:pt idx="229">
                  <c:v>242.89117933757908</c:v>
                </c:pt>
                <c:pt idx="230">
                  <c:v>243.9518395093589</c:v>
                </c:pt>
                <c:pt idx="231">
                  <c:v>245.01249968113873</c:v>
                </c:pt>
                <c:pt idx="232">
                  <c:v>246.07315985291854</c:v>
                </c:pt>
                <c:pt idx="233">
                  <c:v>247.13382002469837</c:v>
                </c:pt>
                <c:pt idx="234">
                  <c:v>248.19448019647817</c:v>
                </c:pt>
                <c:pt idx="235">
                  <c:v>249.25514036825803</c:v>
                </c:pt>
                <c:pt idx="236">
                  <c:v>250.31580054003786</c:v>
                </c:pt>
                <c:pt idx="237">
                  <c:v>251.37646071181766</c:v>
                </c:pt>
                <c:pt idx="238">
                  <c:v>252.43712088359749</c:v>
                </c:pt>
                <c:pt idx="239">
                  <c:v>253.49778105537729</c:v>
                </c:pt>
                <c:pt idx="240">
                  <c:v>254.55844122715712</c:v>
                </c:pt>
                <c:pt idx="241">
                  <c:v>255.61910139893695</c:v>
                </c:pt>
                <c:pt idx="242">
                  <c:v>256.67976157071678</c:v>
                </c:pt>
                <c:pt idx="243">
                  <c:v>257.74042174249661</c:v>
                </c:pt>
                <c:pt idx="244">
                  <c:v>258.80108191427638</c:v>
                </c:pt>
                <c:pt idx="245">
                  <c:v>259.86174208605621</c:v>
                </c:pt>
                <c:pt idx="246">
                  <c:v>260.92240225783604</c:v>
                </c:pt>
                <c:pt idx="247">
                  <c:v>261.98306242961587</c:v>
                </c:pt>
                <c:pt idx="248">
                  <c:v>263.0437226013957</c:v>
                </c:pt>
                <c:pt idx="249">
                  <c:v>264.10438277317547</c:v>
                </c:pt>
                <c:pt idx="250">
                  <c:v>265.1650429449553</c:v>
                </c:pt>
                <c:pt idx="251">
                  <c:v>266.22570311673519</c:v>
                </c:pt>
                <c:pt idx="252">
                  <c:v>267.28636328851496</c:v>
                </c:pt>
                <c:pt idx="253">
                  <c:v>268.34702346029479</c:v>
                </c:pt>
                <c:pt idx="254">
                  <c:v>269.40768363207462</c:v>
                </c:pt>
                <c:pt idx="255">
                  <c:v>270.46834380385445</c:v>
                </c:pt>
                <c:pt idx="256">
                  <c:v>271.52900397563428</c:v>
                </c:pt>
                <c:pt idx="257">
                  <c:v>272.58966414741406</c:v>
                </c:pt>
                <c:pt idx="258">
                  <c:v>273.65032431919389</c:v>
                </c:pt>
                <c:pt idx="259">
                  <c:v>274.71098449097371</c:v>
                </c:pt>
                <c:pt idx="260">
                  <c:v>275.77164466275354</c:v>
                </c:pt>
                <c:pt idx="261">
                  <c:v>276.83230483453337</c:v>
                </c:pt>
                <c:pt idx="262">
                  <c:v>277.8929650063132</c:v>
                </c:pt>
                <c:pt idx="263">
                  <c:v>278.95362517809303</c:v>
                </c:pt>
                <c:pt idx="264">
                  <c:v>280.01428534987281</c:v>
                </c:pt>
                <c:pt idx="265">
                  <c:v>281.07494552165264</c:v>
                </c:pt>
                <c:pt idx="266">
                  <c:v>282.13560569343247</c:v>
                </c:pt>
                <c:pt idx="267">
                  <c:v>283.1962658652123</c:v>
                </c:pt>
                <c:pt idx="268">
                  <c:v>284.25692603699213</c:v>
                </c:pt>
                <c:pt idx="269">
                  <c:v>285.3175862087719</c:v>
                </c:pt>
                <c:pt idx="270">
                  <c:v>286.37824638055179</c:v>
                </c:pt>
                <c:pt idx="271">
                  <c:v>287.43890655233162</c:v>
                </c:pt>
                <c:pt idx="272">
                  <c:v>288.49956672411139</c:v>
                </c:pt>
                <c:pt idx="273">
                  <c:v>289.56022689589122</c:v>
                </c:pt>
                <c:pt idx="274">
                  <c:v>290.62088706767105</c:v>
                </c:pt>
                <c:pt idx="275">
                  <c:v>291.68154723945088</c:v>
                </c:pt>
                <c:pt idx="276">
                  <c:v>292.74220741123071</c:v>
                </c:pt>
                <c:pt idx="277">
                  <c:v>293.80286758301048</c:v>
                </c:pt>
                <c:pt idx="278">
                  <c:v>294.86352775479031</c:v>
                </c:pt>
                <c:pt idx="279">
                  <c:v>295.92418792657014</c:v>
                </c:pt>
                <c:pt idx="280">
                  <c:v>296.98484809834997</c:v>
                </c:pt>
                <c:pt idx="281">
                  <c:v>298.0455082701298</c:v>
                </c:pt>
                <c:pt idx="282">
                  <c:v>299.10616844190963</c:v>
                </c:pt>
                <c:pt idx="283">
                  <c:v>300.16682861368946</c:v>
                </c:pt>
                <c:pt idx="284">
                  <c:v>301.22748878546923</c:v>
                </c:pt>
                <c:pt idx="285">
                  <c:v>302.28814895724906</c:v>
                </c:pt>
                <c:pt idx="286">
                  <c:v>303.34880912902889</c:v>
                </c:pt>
                <c:pt idx="287">
                  <c:v>304.40946930080872</c:v>
                </c:pt>
                <c:pt idx="288">
                  <c:v>305.47012947258855</c:v>
                </c:pt>
                <c:pt idx="289">
                  <c:v>306.53078964436833</c:v>
                </c:pt>
                <c:pt idx="290">
                  <c:v>307.59144981614816</c:v>
                </c:pt>
                <c:pt idx="291">
                  <c:v>308.65210998792804</c:v>
                </c:pt>
                <c:pt idx="292">
                  <c:v>309.71277015970782</c:v>
                </c:pt>
                <c:pt idx="293">
                  <c:v>310.77343033148765</c:v>
                </c:pt>
                <c:pt idx="294">
                  <c:v>311.83409050326748</c:v>
                </c:pt>
                <c:pt idx="295">
                  <c:v>312.89475067504731</c:v>
                </c:pt>
                <c:pt idx="296">
                  <c:v>313.95541084682714</c:v>
                </c:pt>
                <c:pt idx="297">
                  <c:v>315.01607101860691</c:v>
                </c:pt>
                <c:pt idx="298">
                  <c:v>316.07673119038674</c:v>
                </c:pt>
                <c:pt idx="299">
                  <c:v>317.13739136216657</c:v>
                </c:pt>
                <c:pt idx="300">
                  <c:v>318.1980515339464</c:v>
                </c:pt>
                <c:pt idx="301">
                  <c:v>319.25871170572623</c:v>
                </c:pt>
                <c:pt idx="302">
                  <c:v>320.31937187750606</c:v>
                </c:pt>
                <c:pt idx="303">
                  <c:v>321.38003204928589</c:v>
                </c:pt>
                <c:pt idx="304">
                  <c:v>322.44069222106566</c:v>
                </c:pt>
                <c:pt idx="305">
                  <c:v>323.50135239284549</c:v>
                </c:pt>
                <c:pt idx="306">
                  <c:v>324.56201256462532</c:v>
                </c:pt>
                <c:pt idx="307">
                  <c:v>325.62267273640515</c:v>
                </c:pt>
                <c:pt idx="308">
                  <c:v>326.68333290818498</c:v>
                </c:pt>
                <c:pt idx="309">
                  <c:v>327.74399307996475</c:v>
                </c:pt>
                <c:pt idx="310">
                  <c:v>328.80465325174464</c:v>
                </c:pt>
                <c:pt idx="311">
                  <c:v>329.86531342352447</c:v>
                </c:pt>
                <c:pt idx="312">
                  <c:v>330.92597359530424</c:v>
                </c:pt>
                <c:pt idx="313">
                  <c:v>331.98663376708407</c:v>
                </c:pt>
                <c:pt idx="314">
                  <c:v>333.0472939388639</c:v>
                </c:pt>
                <c:pt idx="315">
                  <c:v>334.10795411064373</c:v>
                </c:pt>
                <c:pt idx="316">
                  <c:v>335.16861428242356</c:v>
                </c:pt>
                <c:pt idx="317">
                  <c:v>336.22927445420333</c:v>
                </c:pt>
                <c:pt idx="318">
                  <c:v>337.28993462598316</c:v>
                </c:pt>
                <c:pt idx="319">
                  <c:v>338.35059479776299</c:v>
                </c:pt>
                <c:pt idx="320">
                  <c:v>339.41125496954282</c:v>
                </c:pt>
              </c:numCache>
            </c:numRef>
          </c:xVal>
          <c:yVal>
            <c:numRef>
              <c:f>Sheet1!$C$11:$C$331</c:f>
              <c:numCache>
                <c:formatCode>0.000</c:formatCode>
                <c:ptCount val="32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  <c:pt idx="141">
                  <c:v>-815.6099657790453</c:v>
                </c:pt>
                <c:pt idx="142">
                  <c:v>-828.43045560726534</c:v>
                </c:pt>
                <c:pt idx="143">
                  <c:v>-841.34904543548578</c:v>
                </c:pt>
                <c:pt idx="144">
                  <c:v>-854.36573526370591</c:v>
                </c:pt>
                <c:pt idx="145">
                  <c:v>-867.48052509192598</c:v>
                </c:pt>
                <c:pt idx="146">
                  <c:v>-880.6934149201461</c:v>
                </c:pt>
                <c:pt idx="147">
                  <c:v>-894.00440474836614</c:v>
                </c:pt>
                <c:pt idx="148">
                  <c:v>-907.41349457658669</c:v>
                </c:pt>
                <c:pt idx="149">
                  <c:v>-920.92068440480682</c:v>
                </c:pt>
                <c:pt idx="150">
                  <c:v>-934.52597423302677</c:v>
                </c:pt>
                <c:pt idx="151">
                  <c:v>-948.229364061247</c:v>
                </c:pt>
                <c:pt idx="152">
                  <c:v>-962.03085388946715</c:v>
                </c:pt>
                <c:pt idx="153">
                  <c:v>-975.93044371768758</c:v>
                </c:pt>
                <c:pt idx="154">
                  <c:v>-989.92813354590783</c:v>
                </c:pt>
                <c:pt idx="155">
                  <c:v>-1004.0239233741277</c:v>
                </c:pt>
                <c:pt idx="156">
                  <c:v>-1018.217813202348</c:v>
                </c:pt>
                <c:pt idx="157">
                  <c:v>-1032.509803030568</c:v>
                </c:pt>
                <c:pt idx="158">
                  <c:v>-1046.8998928587885</c:v>
                </c:pt>
                <c:pt idx="159">
                  <c:v>-1061.3880826870084</c:v>
                </c:pt>
                <c:pt idx="160">
                  <c:v>-1075.9743725152287</c:v>
                </c:pt>
                <c:pt idx="161">
                  <c:v>-1090.6587623434491</c:v>
                </c:pt>
                <c:pt idx="162">
                  <c:v>-1105.441252171669</c:v>
                </c:pt>
                <c:pt idx="163">
                  <c:v>-1120.3218419998893</c:v>
                </c:pt>
                <c:pt idx="164">
                  <c:v>-1135.3005318281093</c:v>
                </c:pt>
                <c:pt idx="165">
                  <c:v>-1150.3773216563295</c:v>
                </c:pt>
                <c:pt idx="166">
                  <c:v>-1165.5522114845501</c:v>
                </c:pt>
                <c:pt idx="167">
                  <c:v>-1180.8252013127699</c:v>
                </c:pt>
                <c:pt idx="168">
                  <c:v>-1196.1962911409901</c:v>
                </c:pt>
                <c:pt idx="169">
                  <c:v>-1211.66548096921</c:v>
                </c:pt>
                <c:pt idx="170">
                  <c:v>-1227.2327707974305</c:v>
                </c:pt>
                <c:pt idx="171">
                  <c:v>-1242.8981606256509</c:v>
                </c:pt>
                <c:pt idx="172">
                  <c:v>-1258.6616504538708</c:v>
                </c:pt>
                <c:pt idx="173">
                  <c:v>-1274.5232402820911</c:v>
                </c:pt>
                <c:pt idx="174">
                  <c:v>-1290.4829301103109</c:v>
                </c:pt>
                <c:pt idx="175">
                  <c:v>-1306.5407199385313</c:v>
                </c:pt>
                <c:pt idx="176">
                  <c:v>-1322.6966097667519</c:v>
                </c:pt>
                <c:pt idx="177">
                  <c:v>-1338.9505995949717</c:v>
                </c:pt>
                <c:pt idx="178">
                  <c:v>-1355.3026894231921</c:v>
                </c:pt>
                <c:pt idx="179">
                  <c:v>-1371.752879251412</c:v>
                </c:pt>
                <c:pt idx="180">
                  <c:v>-1388.3011690796322</c:v>
                </c:pt>
                <c:pt idx="181">
                  <c:v>-1404.9475589078529</c:v>
                </c:pt>
                <c:pt idx="182">
                  <c:v>-1421.6920487360726</c:v>
                </c:pt>
                <c:pt idx="183">
                  <c:v>-1438.5346385642929</c:v>
                </c:pt>
                <c:pt idx="184">
                  <c:v>-1455.4753283925127</c:v>
                </c:pt>
                <c:pt idx="185">
                  <c:v>-1472.5141182207333</c:v>
                </c:pt>
                <c:pt idx="186">
                  <c:v>-1489.6510080489534</c:v>
                </c:pt>
                <c:pt idx="187">
                  <c:v>-1506.8859978771734</c:v>
                </c:pt>
                <c:pt idx="188">
                  <c:v>-1524.219087705394</c:v>
                </c:pt>
                <c:pt idx="189">
                  <c:v>-1541.6502775336135</c:v>
                </c:pt>
                <c:pt idx="190">
                  <c:v>-1559.1795673618342</c:v>
                </c:pt>
                <c:pt idx="191">
                  <c:v>-1576.8069571900546</c:v>
                </c:pt>
                <c:pt idx="192">
                  <c:v>-1594.5324470182743</c:v>
                </c:pt>
                <c:pt idx="193">
                  <c:v>-1612.3560368464946</c:v>
                </c:pt>
                <c:pt idx="194">
                  <c:v>-1630.2777266747146</c:v>
                </c:pt>
                <c:pt idx="195">
                  <c:v>-1648.297516502935</c:v>
                </c:pt>
                <c:pt idx="196">
                  <c:v>-1666.4154063311555</c:v>
                </c:pt>
                <c:pt idx="197">
                  <c:v>-1684.6313961593751</c:v>
                </c:pt>
                <c:pt idx="198">
                  <c:v>-1702.9454859875957</c:v>
                </c:pt>
                <c:pt idx="199">
                  <c:v>-1721.3576758158154</c:v>
                </c:pt>
                <c:pt idx="200">
                  <c:v>-1739.8679656440358</c:v>
                </c:pt>
                <c:pt idx="201">
                  <c:v>-1758.4763554722563</c:v>
                </c:pt>
                <c:pt idx="202">
                  <c:v>-1777.1828453004759</c:v>
                </c:pt>
                <c:pt idx="203">
                  <c:v>-1795.9874351286965</c:v>
                </c:pt>
                <c:pt idx="204">
                  <c:v>-1814.8901249569165</c:v>
                </c:pt>
                <c:pt idx="205">
                  <c:v>-1833.8909147851368</c:v>
                </c:pt>
                <c:pt idx="206">
                  <c:v>-1852.9898046133571</c:v>
                </c:pt>
                <c:pt idx="207">
                  <c:v>-1872.1867944415769</c:v>
                </c:pt>
                <c:pt idx="208">
                  <c:v>-1891.4818842697973</c:v>
                </c:pt>
                <c:pt idx="209">
                  <c:v>-1910.8750740980174</c:v>
                </c:pt>
                <c:pt idx="210">
                  <c:v>-1930.3663639262377</c:v>
                </c:pt>
                <c:pt idx="211">
                  <c:v>-1949.9557537544579</c:v>
                </c:pt>
                <c:pt idx="212">
                  <c:v>-1969.643243582678</c:v>
                </c:pt>
                <c:pt idx="213">
                  <c:v>-1989.4288334108983</c:v>
                </c:pt>
                <c:pt idx="214">
                  <c:v>-2009.3125232391183</c:v>
                </c:pt>
                <c:pt idx="215">
                  <c:v>-2029.2943130673389</c:v>
                </c:pt>
                <c:pt idx="216">
                  <c:v>-2049.3742028955589</c:v>
                </c:pt>
                <c:pt idx="217">
                  <c:v>-2069.5521927237792</c:v>
                </c:pt>
                <c:pt idx="218">
                  <c:v>-2089.8282825519991</c:v>
                </c:pt>
                <c:pt idx="219">
                  <c:v>-2110.2024723802188</c:v>
                </c:pt>
                <c:pt idx="220">
                  <c:v>-2130.6747622084395</c:v>
                </c:pt>
                <c:pt idx="221">
                  <c:v>-2151.2451520366599</c:v>
                </c:pt>
                <c:pt idx="222">
                  <c:v>-2171.9136418648795</c:v>
                </c:pt>
                <c:pt idx="223">
                  <c:v>-2192.6802316931003</c:v>
                </c:pt>
                <c:pt idx="224">
                  <c:v>-2213.5449215213198</c:v>
                </c:pt>
                <c:pt idx="225">
                  <c:v>-2234.5077113495404</c:v>
                </c:pt>
                <c:pt idx="226">
                  <c:v>-2255.5686011777607</c:v>
                </c:pt>
                <c:pt idx="227">
                  <c:v>-2276.7275910059807</c:v>
                </c:pt>
                <c:pt idx="228">
                  <c:v>-2297.9846808342013</c:v>
                </c:pt>
                <c:pt idx="229">
                  <c:v>-2319.3398706624207</c:v>
                </c:pt>
                <c:pt idx="230">
                  <c:v>-2340.7931604906416</c:v>
                </c:pt>
                <c:pt idx="231">
                  <c:v>-2362.3445503188614</c:v>
                </c:pt>
                <c:pt idx="232">
                  <c:v>-2383.9940401470813</c:v>
                </c:pt>
                <c:pt idx="233">
                  <c:v>-2405.7416299753017</c:v>
                </c:pt>
                <c:pt idx="234">
                  <c:v>-2427.5873198035215</c:v>
                </c:pt>
                <c:pt idx="235">
                  <c:v>-2449.5311096317423</c:v>
                </c:pt>
                <c:pt idx="236">
                  <c:v>-2471.5729994599624</c:v>
                </c:pt>
                <c:pt idx="237">
                  <c:v>-2493.7129892881821</c:v>
                </c:pt>
                <c:pt idx="238">
                  <c:v>-2515.951079116403</c:v>
                </c:pt>
                <c:pt idx="239">
                  <c:v>-2538.2872689446226</c:v>
                </c:pt>
                <c:pt idx="240">
                  <c:v>-2560.7215587728433</c:v>
                </c:pt>
                <c:pt idx="241">
                  <c:v>-2583.2539486010637</c:v>
                </c:pt>
                <c:pt idx="242">
                  <c:v>-2605.8844384292834</c:v>
                </c:pt>
                <c:pt idx="243">
                  <c:v>-2628.6130282575036</c:v>
                </c:pt>
                <c:pt idx="244">
                  <c:v>-2651.4397180857231</c:v>
                </c:pt>
                <c:pt idx="245">
                  <c:v>-2674.3645079139442</c:v>
                </c:pt>
                <c:pt idx="246">
                  <c:v>-2697.3873977421645</c:v>
                </c:pt>
                <c:pt idx="247">
                  <c:v>-2720.5083875703835</c:v>
                </c:pt>
                <c:pt idx="248">
                  <c:v>-2743.7274773986051</c:v>
                </c:pt>
                <c:pt idx="249">
                  <c:v>-2767.044667226824</c:v>
                </c:pt>
                <c:pt idx="250">
                  <c:v>-2790.4599570550445</c:v>
                </c:pt>
                <c:pt idx="251">
                  <c:v>-2813.9733468832655</c:v>
                </c:pt>
                <c:pt idx="252">
                  <c:v>-2837.584836711485</c:v>
                </c:pt>
                <c:pt idx="253">
                  <c:v>-2861.2944265397059</c:v>
                </c:pt>
                <c:pt idx="254">
                  <c:v>-2885.1021163679252</c:v>
                </c:pt>
                <c:pt idx="255">
                  <c:v>-2909.007906196146</c:v>
                </c:pt>
                <c:pt idx="256">
                  <c:v>-2933.0117960243665</c:v>
                </c:pt>
                <c:pt idx="257">
                  <c:v>-2957.1137858525863</c:v>
                </c:pt>
                <c:pt idx="258">
                  <c:v>-2981.3138756808062</c:v>
                </c:pt>
                <c:pt idx="259">
                  <c:v>-3005.6120655090263</c:v>
                </c:pt>
                <c:pt idx="260">
                  <c:v>-3030.0083553372469</c:v>
                </c:pt>
                <c:pt idx="261">
                  <c:v>-3054.5027451654669</c:v>
                </c:pt>
                <c:pt idx="262">
                  <c:v>-3079.0952349936865</c:v>
                </c:pt>
                <c:pt idx="263">
                  <c:v>-3103.7858248219077</c:v>
                </c:pt>
                <c:pt idx="264">
                  <c:v>-3128.5745146501272</c:v>
                </c:pt>
                <c:pt idx="265">
                  <c:v>-3153.4613044783473</c:v>
                </c:pt>
                <c:pt idx="266">
                  <c:v>-3178.446194306568</c:v>
                </c:pt>
                <c:pt idx="267">
                  <c:v>-3203.5291841347876</c:v>
                </c:pt>
                <c:pt idx="268">
                  <c:v>-3228.7102739630081</c:v>
                </c:pt>
                <c:pt idx="269">
                  <c:v>-3253.989463791228</c:v>
                </c:pt>
                <c:pt idx="270">
                  <c:v>-3279.3667536194484</c:v>
                </c:pt>
                <c:pt idx="271">
                  <c:v>-3304.8421434476691</c:v>
                </c:pt>
                <c:pt idx="272">
                  <c:v>-3330.4156332758885</c:v>
                </c:pt>
                <c:pt idx="273">
                  <c:v>-3356.0872231041094</c:v>
                </c:pt>
                <c:pt idx="274">
                  <c:v>-3381.8569129323287</c:v>
                </c:pt>
                <c:pt idx="275">
                  <c:v>-3407.724702760549</c:v>
                </c:pt>
                <c:pt idx="276">
                  <c:v>-3433.69059258877</c:v>
                </c:pt>
                <c:pt idx="277">
                  <c:v>-3459.7545824169893</c:v>
                </c:pt>
                <c:pt idx="278">
                  <c:v>-3485.9166722452101</c:v>
                </c:pt>
                <c:pt idx="279">
                  <c:v>-3512.1768620734301</c:v>
                </c:pt>
                <c:pt idx="280">
                  <c:v>-3538.5351519016499</c:v>
                </c:pt>
                <c:pt idx="281">
                  <c:v>-3564.9915417298712</c:v>
                </c:pt>
                <c:pt idx="282">
                  <c:v>-3591.5460315580908</c:v>
                </c:pt>
                <c:pt idx="283">
                  <c:v>-3618.1986213863111</c:v>
                </c:pt>
                <c:pt idx="284">
                  <c:v>-3644.9493112145306</c:v>
                </c:pt>
                <c:pt idx="285">
                  <c:v>-3671.7981010427511</c:v>
                </c:pt>
                <c:pt idx="286">
                  <c:v>-3698.7449908709718</c:v>
                </c:pt>
                <c:pt idx="287">
                  <c:v>-3725.7899806991913</c:v>
                </c:pt>
                <c:pt idx="288">
                  <c:v>-3752.9330705274124</c:v>
                </c:pt>
                <c:pt idx="289">
                  <c:v>-3780.1742603556313</c:v>
                </c:pt>
                <c:pt idx="290">
                  <c:v>-3807.5135501838522</c:v>
                </c:pt>
                <c:pt idx="291">
                  <c:v>-3834.9509400120728</c:v>
                </c:pt>
                <c:pt idx="292">
                  <c:v>-3862.4864298402922</c:v>
                </c:pt>
                <c:pt idx="293">
                  <c:v>-3890.1200196685131</c:v>
                </c:pt>
                <c:pt idx="294">
                  <c:v>-3917.8517094967319</c:v>
                </c:pt>
                <c:pt idx="295">
                  <c:v>-3945.6814993249527</c:v>
                </c:pt>
                <c:pt idx="296">
                  <c:v>-3973.6093891531741</c:v>
                </c:pt>
                <c:pt idx="297">
                  <c:v>-4001.6353789813925</c:v>
                </c:pt>
                <c:pt idx="298">
                  <c:v>-4029.7594688096137</c:v>
                </c:pt>
                <c:pt idx="299">
                  <c:v>-4057.9816586378329</c:v>
                </c:pt>
                <c:pt idx="300">
                  <c:v>-4086.3019484660535</c:v>
                </c:pt>
                <c:pt idx="301">
                  <c:v>-4114.7203382942744</c:v>
                </c:pt>
                <c:pt idx="302">
                  <c:v>-4143.2368281224935</c:v>
                </c:pt>
                <c:pt idx="303">
                  <c:v>-4171.8514179507147</c:v>
                </c:pt>
                <c:pt idx="304">
                  <c:v>-4200.5641077789342</c:v>
                </c:pt>
                <c:pt idx="305">
                  <c:v>-4229.3748976071547</c:v>
                </c:pt>
                <c:pt idx="306">
                  <c:v>-4258.2837874353754</c:v>
                </c:pt>
                <c:pt idx="307">
                  <c:v>-4287.2907772635954</c:v>
                </c:pt>
                <c:pt idx="308">
                  <c:v>-4316.3958670918164</c:v>
                </c:pt>
                <c:pt idx="309">
                  <c:v>-4345.5990569200358</c:v>
                </c:pt>
                <c:pt idx="310">
                  <c:v>-4374.9003467482553</c:v>
                </c:pt>
                <c:pt idx="311">
                  <c:v>-4404.2997365764759</c:v>
                </c:pt>
                <c:pt idx="312">
                  <c:v>-4433.7972264046966</c:v>
                </c:pt>
                <c:pt idx="313">
                  <c:v>-4463.3928162329166</c:v>
                </c:pt>
                <c:pt idx="314">
                  <c:v>-4493.0865060611359</c:v>
                </c:pt>
                <c:pt idx="315">
                  <c:v>-4522.8782958893562</c:v>
                </c:pt>
                <c:pt idx="316">
                  <c:v>-4552.7681857175767</c:v>
                </c:pt>
                <c:pt idx="317">
                  <c:v>-4582.7561755457973</c:v>
                </c:pt>
                <c:pt idx="318">
                  <c:v>-4612.8422653740172</c:v>
                </c:pt>
                <c:pt idx="319">
                  <c:v>-4643.0264552022372</c:v>
                </c:pt>
                <c:pt idx="320">
                  <c:v>-4673.3087450304574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Projectile Motion Illustration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Sheet1!$B$11:$B$331</c:f>
              <c:numCache>
                <c:formatCode>0.000</c:formatCode>
                <c:ptCount val="321"/>
                <c:pt idx="0">
                  <c:v>0</c:v>
                </c:pt>
                <c:pt idx="1">
                  <c:v>1.0606601717798214</c:v>
                </c:pt>
                <c:pt idx="2">
                  <c:v>2.1213203435596428</c:v>
                </c:pt>
                <c:pt idx="3">
                  <c:v>3.1819805153394638</c:v>
                </c:pt>
                <c:pt idx="4">
                  <c:v>4.2426406871192857</c:v>
                </c:pt>
                <c:pt idx="5">
                  <c:v>5.3033008588991066</c:v>
                </c:pt>
                <c:pt idx="6">
                  <c:v>6.3639610306789276</c:v>
                </c:pt>
                <c:pt idx="7">
                  <c:v>7.4246212024587486</c:v>
                </c:pt>
                <c:pt idx="8">
                  <c:v>8.4852813742385713</c:v>
                </c:pt>
                <c:pt idx="9">
                  <c:v>9.5459415460183923</c:v>
                </c:pt>
                <c:pt idx="10">
                  <c:v>10.606601717798213</c:v>
                </c:pt>
                <c:pt idx="11">
                  <c:v>11.667261889578036</c:v>
                </c:pt>
                <c:pt idx="12">
                  <c:v>12.727922061357855</c:v>
                </c:pt>
                <c:pt idx="13">
                  <c:v>13.788582233137678</c:v>
                </c:pt>
                <c:pt idx="14">
                  <c:v>14.849242404917497</c:v>
                </c:pt>
                <c:pt idx="15">
                  <c:v>15.90990257669732</c:v>
                </c:pt>
                <c:pt idx="16">
                  <c:v>16.970562748477143</c:v>
                </c:pt>
                <c:pt idx="17">
                  <c:v>18.031222920256962</c:v>
                </c:pt>
                <c:pt idx="18">
                  <c:v>19.091883092036785</c:v>
                </c:pt>
                <c:pt idx="19">
                  <c:v>20.152543263816604</c:v>
                </c:pt>
                <c:pt idx="20">
                  <c:v>21.213203435596427</c:v>
                </c:pt>
                <c:pt idx="21">
                  <c:v>22.273863607376249</c:v>
                </c:pt>
                <c:pt idx="22">
                  <c:v>23.334523779156072</c:v>
                </c:pt>
                <c:pt idx="23">
                  <c:v>24.395183950935888</c:v>
                </c:pt>
                <c:pt idx="24">
                  <c:v>25.45584412271571</c:v>
                </c:pt>
                <c:pt idx="25">
                  <c:v>26.516504294495533</c:v>
                </c:pt>
                <c:pt idx="26">
                  <c:v>27.577164466275356</c:v>
                </c:pt>
                <c:pt idx="27">
                  <c:v>28.637824638055179</c:v>
                </c:pt>
                <c:pt idx="28">
                  <c:v>29.698484809834994</c:v>
                </c:pt>
                <c:pt idx="29">
                  <c:v>30.759144981614817</c:v>
                </c:pt>
                <c:pt idx="30">
                  <c:v>31.81980515339464</c:v>
                </c:pt>
                <c:pt idx="31">
                  <c:v>32.880465325174463</c:v>
                </c:pt>
                <c:pt idx="32">
                  <c:v>33.941125496954285</c:v>
                </c:pt>
                <c:pt idx="33">
                  <c:v>35.001785668734101</c:v>
                </c:pt>
                <c:pt idx="34">
                  <c:v>36.062445840513924</c:v>
                </c:pt>
                <c:pt idx="35">
                  <c:v>37.123106012293746</c:v>
                </c:pt>
                <c:pt idx="36">
                  <c:v>38.183766184073569</c:v>
                </c:pt>
                <c:pt idx="37">
                  <c:v>39.244426355853392</c:v>
                </c:pt>
                <c:pt idx="38">
                  <c:v>40.305086527633208</c:v>
                </c:pt>
                <c:pt idx="39">
                  <c:v>41.36574669941303</c:v>
                </c:pt>
                <c:pt idx="40">
                  <c:v>42.426406871192853</c:v>
                </c:pt>
                <c:pt idx="41">
                  <c:v>43.487067042972669</c:v>
                </c:pt>
                <c:pt idx="42">
                  <c:v>44.547727214752499</c:v>
                </c:pt>
                <c:pt idx="43">
                  <c:v>45.608387386532314</c:v>
                </c:pt>
                <c:pt idx="44">
                  <c:v>46.669047558312144</c:v>
                </c:pt>
                <c:pt idx="45">
                  <c:v>47.72970773009196</c:v>
                </c:pt>
                <c:pt idx="46">
                  <c:v>48.790367901871775</c:v>
                </c:pt>
                <c:pt idx="47">
                  <c:v>49.851028073651605</c:v>
                </c:pt>
                <c:pt idx="48">
                  <c:v>50.911688245431421</c:v>
                </c:pt>
                <c:pt idx="49">
                  <c:v>51.972348417211251</c:v>
                </c:pt>
                <c:pt idx="50">
                  <c:v>53.033008588991066</c:v>
                </c:pt>
                <c:pt idx="51">
                  <c:v>54.093668760770882</c:v>
                </c:pt>
                <c:pt idx="52">
                  <c:v>55.154328932550712</c:v>
                </c:pt>
                <c:pt idx="53">
                  <c:v>56.214989104330527</c:v>
                </c:pt>
                <c:pt idx="54">
                  <c:v>57.275649276110357</c:v>
                </c:pt>
                <c:pt idx="55">
                  <c:v>58.336309447890173</c:v>
                </c:pt>
                <c:pt idx="56">
                  <c:v>59.396969619669989</c:v>
                </c:pt>
                <c:pt idx="57">
                  <c:v>60.457629791449818</c:v>
                </c:pt>
                <c:pt idx="58">
                  <c:v>61.518289963229634</c:v>
                </c:pt>
                <c:pt idx="59">
                  <c:v>62.578950135009464</c:v>
                </c:pt>
                <c:pt idx="60">
                  <c:v>63.63961030678928</c:v>
                </c:pt>
                <c:pt idx="61">
                  <c:v>64.700270478569095</c:v>
                </c:pt>
                <c:pt idx="62">
                  <c:v>65.760930650348925</c:v>
                </c:pt>
                <c:pt idx="63">
                  <c:v>66.821590822128741</c:v>
                </c:pt>
                <c:pt idx="64">
                  <c:v>67.882250993908571</c:v>
                </c:pt>
                <c:pt idx="65">
                  <c:v>68.942911165688386</c:v>
                </c:pt>
                <c:pt idx="66">
                  <c:v>70.003571337468202</c:v>
                </c:pt>
                <c:pt idx="67">
                  <c:v>71.064231509248032</c:v>
                </c:pt>
                <c:pt idx="68">
                  <c:v>72.124891681027847</c:v>
                </c:pt>
                <c:pt idx="69">
                  <c:v>73.185551852807677</c:v>
                </c:pt>
                <c:pt idx="70">
                  <c:v>74.246212024587493</c:v>
                </c:pt>
                <c:pt idx="71">
                  <c:v>75.306872196367308</c:v>
                </c:pt>
                <c:pt idx="72">
                  <c:v>76.367532368147138</c:v>
                </c:pt>
                <c:pt idx="73">
                  <c:v>77.428192539926954</c:v>
                </c:pt>
                <c:pt idx="74">
                  <c:v>78.488852711706784</c:v>
                </c:pt>
                <c:pt idx="75">
                  <c:v>79.549512883486599</c:v>
                </c:pt>
                <c:pt idx="76">
                  <c:v>80.610173055266415</c:v>
                </c:pt>
                <c:pt idx="77">
                  <c:v>81.670833227046245</c:v>
                </c:pt>
                <c:pt idx="78">
                  <c:v>82.731493398826061</c:v>
                </c:pt>
                <c:pt idx="79">
                  <c:v>83.79215357060589</c:v>
                </c:pt>
                <c:pt idx="80">
                  <c:v>84.852813742385706</c:v>
                </c:pt>
                <c:pt idx="81">
                  <c:v>85.913473914165522</c:v>
                </c:pt>
                <c:pt idx="82">
                  <c:v>86.974134085945337</c:v>
                </c:pt>
                <c:pt idx="83">
                  <c:v>88.034794257725181</c:v>
                </c:pt>
                <c:pt idx="84">
                  <c:v>89.095454429504997</c:v>
                </c:pt>
                <c:pt idx="85">
                  <c:v>90.156114601284813</c:v>
                </c:pt>
                <c:pt idx="86">
                  <c:v>91.216774773064628</c:v>
                </c:pt>
                <c:pt idx="87">
                  <c:v>92.277434944844444</c:v>
                </c:pt>
                <c:pt idx="88">
                  <c:v>93.338095116624288</c:v>
                </c:pt>
                <c:pt idx="89">
                  <c:v>94.398755288404104</c:v>
                </c:pt>
                <c:pt idx="90">
                  <c:v>95.459415460183919</c:v>
                </c:pt>
                <c:pt idx="91">
                  <c:v>96.520075631963735</c:v>
                </c:pt>
                <c:pt idx="92">
                  <c:v>97.580735803743551</c:v>
                </c:pt>
                <c:pt idx="93">
                  <c:v>98.641395975523395</c:v>
                </c:pt>
                <c:pt idx="94">
                  <c:v>99.70205614730321</c:v>
                </c:pt>
                <c:pt idx="95">
                  <c:v>100.76271631908303</c:v>
                </c:pt>
                <c:pt idx="96">
                  <c:v>101.82337649086284</c:v>
                </c:pt>
                <c:pt idx="97">
                  <c:v>102.88403666264266</c:v>
                </c:pt>
                <c:pt idx="98">
                  <c:v>103.9446968344225</c:v>
                </c:pt>
                <c:pt idx="99">
                  <c:v>105.00535700620232</c:v>
                </c:pt>
                <c:pt idx="100">
                  <c:v>106.06601717798213</c:v>
                </c:pt>
                <c:pt idx="101">
                  <c:v>107.12667734976195</c:v>
                </c:pt>
                <c:pt idx="102">
                  <c:v>108.18733752154176</c:v>
                </c:pt>
                <c:pt idx="103">
                  <c:v>109.24799769332161</c:v>
                </c:pt>
                <c:pt idx="104">
                  <c:v>110.30865786510142</c:v>
                </c:pt>
                <c:pt idx="105">
                  <c:v>111.36931803688124</c:v>
                </c:pt>
                <c:pt idx="106">
                  <c:v>112.42997820866105</c:v>
                </c:pt>
                <c:pt idx="107">
                  <c:v>113.49063838044087</c:v>
                </c:pt>
                <c:pt idx="108">
                  <c:v>114.55129855222071</c:v>
                </c:pt>
                <c:pt idx="109">
                  <c:v>115.61195872400053</c:v>
                </c:pt>
                <c:pt idx="110">
                  <c:v>116.67261889578035</c:v>
                </c:pt>
                <c:pt idx="111">
                  <c:v>117.73327906756016</c:v>
                </c:pt>
                <c:pt idx="112">
                  <c:v>118.79393923933998</c:v>
                </c:pt>
                <c:pt idx="113">
                  <c:v>119.85459941111982</c:v>
                </c:pt>
                <c:pt idx="114">
                  <c:v>120.91525958289964</c:v>
                </c:pt>
                <c:pt idx="115">
                  <c:v>121.97591975467945</c:v>
                </c:pt>
                <c:pt idx="116">
                  <c:v>123.03657992645927</c:v>
                </c:pt>
                <c:pt idx="117">
                  <c:v>124.09724009823908</c:v>
                </c:pt>
                <c:pt idx="118">
                  <c:v>125.15790027001893</c:v>
                </c:pt>
                <c:pt idx="119">
                  <c:v>126.21856044179874</c:v>
                </c:pt>
                <c:pt idx="120">
                  <c:v>127.27922061357856</c:v>
                </c:pt>
                <c:pt idx="121">
                  <c:v>128.33988078535839</c:v>
                </c:pt>
                <c:pt idx="122">
                  <c:v>129.40054095713819</c:v>
                </c:pt>
                <c:pt idx="123">
                  <c:v>130.46120112891802</c:v>
                </c:pt>
                <c:pt idx="124">
                  <c:v>131.52186130069785</c:v>
                </c:pt>
                <c:pt idx="125">
                  <c:v>132.58252147247765</c:v>
                </c:pt>
                <c:pt idx="126">
                  <c:v>133.64318164425748</c:v>
                </c:pt>
                <c:pt idx="127">
                  <c:v>134.70384181603731</c:v>
                </c:pt>
                <c:pt idx="128">
                  <c:v>135.76450198781714</c:v>
                </c:pt>
                <c:pt idx="129">
                  <c:v>136.82516215959694</c:v>
                </c:pt>
                <c:pt idx="130">
                  <c:v>137.88582233137677</c:v>
                </c:pt>
                <c:pt idx="131">
                  <c:v>138.9464825031566</c:v>
                </c:pt>
                <c:pt idx="132">
                  <c:v>140.0071426749364</c:v>
                </c:pt>
                <c:pt idx="133">
                  <c:v>141.06780284671623</c:v>
                </c:pt>
                <c:pt idx="134">
                  <c:v>142.12846301849606</c:v>
                </c:pt>
                <c:pt idx="135">
                  <c:v>143.18912319027589</c:v>
                </c:pt>
                <c:pt idx="136">
                  <c:v>144.24978336205569</c:v>
                </c:pt>
                <c:pt idx="137">
                  <c:v>145.31044353383552</c:v>
                </c:pt>
                <c:pt idx="138">
                  <c:v>146.37110370561535</c:v>
                </c:pt>
                <c:pt idx="139">
                  <c:v>147.43176387739516</c:v>
                </c:pt>
                <c:pt idx="140">
                  <c:v>148.49242404917499</c:v>
                </c:pt>
                <c:pt idx="141">
                  <c:v>149.55308422095482</c:v>
                </c:pt>
                <c:pt idx="142">
                  <c:v>150.61374439273462</c:v>
                </c:pt>
                <c:pt idx="143">
                  <c:v>151.67440456451445</c:v>
                </c:pt>
                <c:pt idx="144">
                  <c:v>152.73506473629428</c:v>
                </c:pt>
                <c:pt idx="145">
                  <c:v>153.79572490807408</c:v>
                </c:pt>
                <c:pt idx="146">
                  <c:v>154.85638507985391</c:v>
                </c:pt>
                <c:pt idx="147">
                  <c:v>155.91704525163374</c:v>
                </c:pt>
                <c:pt idx="148">
                  <c:v>156.97770542341357</c:v>
                </c:pt>
                <c:pt idx="149">
                  <c:v>158.03836559519337</c:v>
                </c:pt>
                <c:pt idx="150">
                  <c:v>159.0990257669732</c:v>
                </c:pt>
                <c:pt idx="151">
                  <c:v>160.15968593875303</c:v>
                </c:pt>
                <c:pt idx="152">
                  <c:v>161.22034611053283</c:v>
                </c:pt>
                <c:pt idx="153">
                  <c:v>162.28100628231266</c:v>
                </c:pt>
                <c:pt idx="154">
                  <c:v>163.34166645409249</c:v>
                </c:pt>
                <c:pt idx="155">
                  <c:v>164.40232662587232</c:v>
                </c:pt>
                <c:pt idx="156">
                  <c:v>165.46298679765212</c:v>
                </c:pt>
                <c:pt idx="157">
                  <c:v>166.52364696943195</c:v>
                </c:pt>
                <c:pt idx="158">
                  <c:v>167.58430714121178</c:v>
                </c:pt>
                <c:pt idx="159">
                  <c:v>168.64496731299158</c:v>
                </c:pt>
                <c:pt idx="160">
                  <c:v>169.70562748477141</c:v>
                </c:pt>
                <c:pt idx="161">
                  <c:v>170.76628765655124</c:v>
                </c:pt>
                <c:pt idx="162">
                  <c:v>171.82694782833104</c:v>
                </c:pt>
                <c:pt idx="163">
                  <c:v>172.88760800011087</c:v>
                </c:pt>
                <c:pt idx="164">
                  <c:v>173.94826817189067</c:v>
                </c:pt>
                <c:pt idx="165">
                  <c:v>175.0089283436705</c:v>
                </c:pt>
                <c:pt idx="166">
                  <c:v>176.06958851545036</c:v>
                </c:pt>
                <c:pt idx="167">
                  <c:v>177.13024868723016</c:v>
                </c:pt>
                <c:pt idx="168">
                  <c:v>178.19090885900999</c:v>
                </c:pt>
                <c:pt idx="169">
                  <c:v>179.2515690307898</c:v>
                </c:pt>
                <c:pt idx="170">
                  <c:v>180.31222920256963</c:v>
                </c:pt>
                <c:pt idx="171">
                  <c:v>181.37288937434946</c:v>
                </c:pt>
                <c:pt idx="172">
                  <c:v>182.43354954612926</c:v>
                </c:pt>
                <c:pt idx="173">
                  <c:v>183.49420971790909</c:v>
                </c:pt>
                <c:pt idx="174">
                  <c:v>184.55486988968889</c:v>
                </c:pt>
                <c:pt idx="175">
                  <c:v>185.61553006146875</c:v>
                </c:pt>
                <c:pt idx="176">
                  <c:v>186.67619023324858</c:v>
                </c:pt>
                <c:pt idx="177">
                  <c:v>187.73685040502838</c:v>
                </c:pt>
                <c:pt idx="178">
                  <c:v>188.79751057680821</c:v>
                </c:pt>
                <c:pt idx="179">
                  <c:v>189.85817074858801</c:v>
                </c:pt>
                <c:pt idx="180">
                  <c:v>190.91883092036784</c:v>
                </c:pt>
                <c:pt idx="181">
                  <c:v>191.97949109214767</c:v>
                </c:pt>
                <c:pt idx="182">
                  <c:v>193.04015126392747</c:v>
                </c:pt>
                <c:pt idx="183">
                  <c:v>194.1008114357073</c:v>
                </c:pt>
                <c:pt idx="184">
                  <c:v>195.1614716074871</c:v>
                </c:pt>
                <c:pt idx="185">
                  <c:v>196.22213177926693</c:v>
                </c:pt>
                <c:pt idx="186">
                  <c:v>197.28279195104679</c:v>
                </c:pt>
                <c:pt idx="187">
                  <c:v>198.34345212282659</c:v>
                </c:pt>
                <c:pt idx="188">
                  <c:v>199.40411229460642</c:v>
                </c:pt>
                <c:pt idx="189">
                  <c:v>200.46477246638622</c:v>
                </c:pt>
                <c:pt idx="190">
                  <c:v>201.52543263816605</c:v>
                </c:pt>
                <c:pt idx="191">
                  <c:v>202.58609280994588</c:v>
                </c:pt>
                <c:pt idx="192">
                  <c:v>203.64675298172568</c:v>
                </c:pt>
                <c:pt idx="193">
                  <c:v>204.70741315350551</c:v>
                </c:pt>
                <c:pt idx="194">
                  <c:v>205.76807332528531</c:v>
                </c:pt>
                <c:pt idx="195">
                  <c:v>206.82873349706517</c:v>
                </c:pt>
                <c:pt idx="196">
                  <c:v>207.889393668845</c:v>
                </c:pt>
                <c:pt idx="197">
                  <c:v>208.9500538406248</c:v>
                </c:pt>
                <c:pt idx="198">
                  <c:v>210.01071401240463</c:v>
                </c:pt>
                <c:pt idx="199">
                  <c:v>211.07137418418444</c:v>
                </c:pt>
                <c:pt idx="200">
                  <c:v>212.13203435596427</c:v>
                </c:pt>
                <c:pt idx="201">
                  <c:v>213.1926945277441</c:v>
                </c:pt>
                <c:pt idx="202">
                  <c:v>214.2533546995239</c:v>
                </c:pt>
                <c:pt idx="203">
                  <c:v>215.31401487130373</c:v>
                </c:pt>
                <c:pt idx="204">
                  <c:v>216.37467504308353</c:v>
                </c:pt>
                <c:pt idx="205">
                  <c:v>217.43533521486336</c:v>
                </c:pt>
                <c:pt idx="206">
                  <c:v>218.49599538664322</c:v>
                </c:pt>
                <c:pt idx="207">
                  <c:v>219.55665555842302</c:v>
                </c:pt>
                <c:pt idx="208">
                  <c:v>220.61731573020285</c:v>
                </c:pt>
                <c:pt idx="209">
                  <c:v>221.67797590198265</c:v>
                </c:pt>
                <c:pt idx="210">
                  <c:v>222.73863607376248</c:v>
                </c:pt>
                <c:pt idx="211">
                  <c:v>223.79929624554231</c:v>
                </c:pt>
                <c:pt idx="212">
                  <c:v>224.85995641732211</c:v>
                </c:pt>
                <c:pt idx="213">
                  <c:v>225.92061658910194</c:v>
                </c:pt>
                <c:pt idx="214">
                  <c:v>226.98127676088174</c:v>
                </c:pt>
                <c:pt idx="215">
                  <c:v>228.0419369326616</c:v>
                </c:pt>
                <c:pt idx="216">
                  <c:v>229.10259710444143</c:v>
                </c:pt>
                <c:pt idx="217">
                  <c:v>230.16325727622123</c:v>
                </c:pt>
                <c:pt idx="218">
                  <c:v>231.22391744800106</c:v>
                </c:pt>
                <c:pt idx="219">
                  <c:v>232.28457761978086</c:v>
                </c:pt>
                <c:pt idx="220">
                  <c:v>233.34523779156069</c:v>
                </c:pt>
                <c:pt idx="221">
                  <c:v>234.40589796334052</c:v>
                </c:pt>
                <c:pt idx="222">
                  <c:v>235.46655813512032</c:v>
                </c:pt>
                <c:pt idx="223">
                  <c:v>236.52721830690015</c:v>
                </c:pt>
                <c:pt idx="224">
                  <c:v>237.58787847867995</c:v>
                </c:pt>
                <c:pt idx="225">
                  <c:v>238.64853865045978</c:v>
                </c:pt>
                <c:pt idx="226">
                  <c:v>239.70919882223964</c:v>
                </c:pt>
                <c:pt idx="227">
                  <c:v>240.76985899401944</c:v>
                </c:pt>
                <c:pt idx="228">
                  <c:v>241.83051916579927</c:v>
                </c:pt>
                <c:pt idx="229">
                  <c:v>242.89117933757908</c:v>
                </c:pt>
                <c:pt idx="230">
                  <c:v>243.9518395093589</c:v>
                </c:pt>
                <c:pt idx="231">
                  <c:v>245.01249968113873</c:v>
                </c:pt>
                <c:pt idx="232">
                  <c:v>246.07315985291854</c:v>
                </c:pt>
                <c:pt idx="233">
                  <c:v>247.13382002469837</c:v>
                </c:pt>
                <c:pt idx="234">
                  <c:v>248.19448019647817</c:v>
                </c:pt>
                <c:pt idx="235">
                  <c:v>249.25514036825803</c:v>
                </c:pt>
                <c:pt idx="236">
                  <c:v>250.31580054003786</c:v>
                </c:pt>
                <c:pt idx="237">
                  <c:v>251.37646071181766</c:v>
                </c:pt>
                <c:pt idx="238">
                  <c:v>252.43712088359749</c:v>
                </c:pt>
                <c:pt idx="239">
                  <c:v>253.49778105537729</c:v>
                </c:pt>
                <c:pt idx="240">
                  <c:v>254.55844122715712</c:v>
                </c:pt>
                <c:pt idx="241">
                  <c:v>255.61910139893695</c:v>
                </c:pt>
                <c:pt idx="242">
                  <c:v>256.67976157071678</c:v>
                </c:pt>
                <c:pt idx="243">
                  <c:v>257.74042174249661</c:v>
                </c:pt>
                <c:pt idx="244">
                  <c:v>258.80108191427638</c:v>
                </c:pt>
                <c:pt idx="245">
                  <c:v>259.86174208605621</c:v>
                </c:pt>
                <c:pt idx="246">
                  <c:v>260.92240225783604</c:v>
                </c:pt>
                <c:pt idx="247">
                  <c:v>261.98306242961587</c:v>
                </c:pt>
                <c:pt idx="248">
                  <c:v>263.0437226013957</c:v>
                </c:pt>
                <c:pt idx="249">
                  <c:v>264.10438277317547</c:v>
                </c:pt>
                <c:pt idx="250">
                  <c:v>265.1650429449553</c:v>
                </c:pt>
                <c:pt idx="251">
                  <c:v>266.22570311673519</c:v>
                </c:pt>
                <c:pt idx="252">
                  <c:v>267.28636328851496</c:v>
                </c:pt>
                <c:pt idx="253">
                  <c:v>268.34702346029479</c:v>
                </c:pt>
                <c:pt idx="254">
                  <c:v>269.40768363207462</c:v>
                </c:pt>
                <c:pt idx="255">
                  <c:v>270.46834380385445</c:v>
                </c:pt>
                <c:pt idx="256">
                  <c:v>271.52900397563428</c:v>
                </c:pt>
                <c:pt idx="257">
                  <c:v>272.58966414741406</c:v>
                </c:pt>
                <c:pt idx="258">
                  <c:v>273.65032431919389</c:v>
                </c:pt>
                <c:pt idx="259">
                  <c:v>274.71098449097371</c:v>
                </c:pt>
                <c:pt idx="260">
                  <c:v>275.77164466275354</c:v>
                </c:pt>
                <c:pt idx="261">
                  <c:v>276.83230483453337</c:v>
                </c:pt>
                <c:pt idx="262">
                  <c:v>277.8929650063132</c:v>
                </c:pt>
                <c:pt idx="263">
                  <c:v>278.95362517809303</c:v>
                </c:pt>
                <c:pt idx="264">
                  <c:v>280.01428534987281</c:v>
                </c:pt>
                <c:pt idx="265">
                  <c:v>281.07494552165264</c:v>
                </c:pt>
                <c:pt idx="266">
                  <c:v>282.13560569343247</c:v>
                </c:pt>
                <c:pt idx="267">
                  <c:v>283.1962658652123</c:v>
                </c:pt>
                <c:pt idx="268">
                  <c:v>284.25692603699213</c:v>
                </c:pt>
                <c:pt idx="269">
                  <c:v>285.3175862087719</c:v>
                </c:pt>
                <c:pt idx="270">
                  <c:v>286.37824638055179</c:v>
                </c:pt>
                <c:pt idx="271">
                  <c:v>287.43890655233162</c:v>
                </c:pt>
                <c:pt idx="272">
                  <c:v>288.49956672411139</c:v>
                </c:pt>
                <c:pt idx="273">
                  <c:v>289.56022689589122</c:v>
                </c:pt>
                <c:pt idx="274">
                  <c:v>290.62088706767105</c:v>
                </c:pt>
                <c:pt idx="275">
                  <c:v>291.68154723945088</c:v>
                </c:pt>
                <c:pt idx="276">
                  <c:v>292.74220741123071</c:v>
                </c:pt>
                <c:pt idx="277">
                  <c:v>293.80286758301048</c:v>
                </c:pt>
                <c:pt idx="278">
                  <c:v>294.86352775479031</c:v>
                </c:pt>
                <c:pt idx="279">
                  <c:v>295.92418792657014</c:v>
                </c:pt>
                <c:pt idx="280">
                  <c:v>296.98484809834997</c:v>
                </c:pt>
                <c:pt idx="281">
                  <c:v>298.0455082701298</c:v>
                </c:pt>
                <c:pt idx="282">
                  <c:v>299.10616844190963</c:v>
                </c:pt>
                <c:pt idx="283">
                  <c:v>300.16682861368946</c:v>
                </c:pt>
                <c:pt idx="284">
                  <c:v>301.22748878546923</c:v>
                </c:pt>
                <c:pt idx="285">
                  <c:v>302.28814895724906</c:v>
                </c:pt>
                <c:pt idx="286">
                  <c:v>303.34880912902889</c:v>
                </c:pt>
                <c:pt idx="287">
                  <c:v>304.40946930080872</c:v>
                </c:pt>
                <c:pt idx="288">
                  <c:v>305.47012947258855</c:v>
                </c:pt>
                <c:pt idx="289">
                  <c:v>306.53078964436833</c:v>
                </c:pt>
                <c:pt idx="290">
                  <c:v>307.59144981614816</c:v>
                </c:pt>
                <c:pt idx="291">
                  <c:v>308.65210998792804</c:v>
                </c:pt>
                <c:pt idx="292">
                  <c:v>309.71277015970782</c:v>
                </c:pt>
                <c:pt idx="293">
                  <c:v>310.77343033148765</c:v>
                </c:pt>
                <c:pt idx="294">
                  <c:v>311.83409050326748</c:v>
                </c:pt>
                <c:pt idx="295">
                  <c:v>312.89475067504731</c:v>
                </c:pt>
                <c:pt idx="296">
                  <c:v>313.95541084682714</c:v>
                </c:pt>
                <c:pt idx="297">
                  <c:v>315.01607101860691</c:v>
                </c:pt>
                <c:pt idx="298">
                  <c:v>316.07673119038674</c:v>
                </c:pt>
                <c:pt idx="299">
                  <c:v>317.13739136216657</c:v>
                </c:pt>
                <c:pt idx="300">
                  <c:v>318.1980515339464</c:v>
                </c:pt>
                <c:pt idx="301">
                  <c:v>319.25871170572623</c:v>
                </c:pt>
                <c:pt idx="302">
                  <c:v>320.31937187750606</c:v>
                </c:pt>
                <c:pt idx="303">
                  <c:v>321.38003204928589</c:v>
                </c:pt>
                <c:pt idx="304">
                  <c:v>322.44069222106566</c:v>
                </c:pt>
                <c:pt idx="305">
                  <c:v>323.50135239284549</c:v>
                </c:pt>
                <c:pt idx="306">
                  <c:v>324.56201256462532</c:v>
                </c:pt>
                <c:pt idx="307">
                  <c:v>325.62267273640515</c:v>
                </c:pt>
                <c:pt idx="308">
                  <c:v>326.68333290818498</c:v>
                </c:pt>
                <c:pt idx="309">
                  <c:v>327.74399307996475</c:v>
                </c:pt>
                <c:pt idx="310">
                  <c:v>328.80465325174464</c:v>
                </c:pt>
                <c:pt idx="311">
                  <c:v>329.86531342352447</c:v>
                </c:pt>
                <c:pt idx="312">
                  <c:v>330.92597359530424</c:v>
                </c:pt>
                <c:pt idx="313">
                  <c:v>331.98663376708407</c:v>
                </c:pt>
                <c:pt idx="314">
                  <c:v>333.0472939388639</c:v>
                </c:pt>
                <c:pt idx="315">
                  <c:v>334.10795411064373</c:v>
                </c:pt>
                <c:pt idx="316">
                  <c:v>335.16861428242356</c:v>
                </c:pt>
                <c:pt idx="317">
                  <c:v>336.22927445420333</c:v>
                </c:pt>
                <c:pt idx="318">
                  <c:v>337.28993462598316</c:v>
                </c:pt>
                <c:pt idx="319">
                  <c:v>338.35059479776299</c:v>
                </c:pt>
                <c:pt idx="320">
                  <c:v>339.41125496954282</c:v>
                </c:pt>
              </c:numCache>
            </c:numRef>
          </c:xVal>
          <c:yVal>
            <c:numRef>
              <c:f>Sheet1!$C$11:$C$331</c:f>
              <c:numCache>
                <c:formatCode>0.000</c:formatCode>
                <c:ptCount val="321"/>
                <c:pt idx="0">
                  <c:v>10</c:v>
                </c:pt>
                <c:pt idx="1">
                  <c:v>11.011610171779822</c:v>
                </c:pt>
                <c:pt idx="2">
                  <c:v>11.925120343559643</c:v>
                </c:pt>
                <c:pt idx="3">
                  <c:v>12.740530515339463</c:v>
                </c:pt>
                <c:pt idx="4">
                  <c:v>13.457840687119285</c:v>
                </c:pt>
                <c:pt idx="5">
                  <c:v>14.077050858899106</c:v>
                </c:pt>
                <c:pt idx="6">
                  <c:v>14.598161030678927</c:v>
                </c:pt>
                <c:pt idx="7">
                  <c:v>15.021171202458747</c:v>
                </c:pt>
                <c:pt idx="8">
                  <c:v>15.346081374238569</c:v>
                </c:pt>
                <c:pt idx="9">
                  <c:v>15.57289154601839</c:v>
                </c:pt>
                <c:pt idx="10">
                  <c:v>15.701601717798212</c:v>
                </c:pt>
                <c:pt idx="11">
                  <c:v>15.732211889578032</c:v>
                </c:pt>
                <c:pt idx="12">
                  <c:v>15.664722061357853</c:v>
                </c:pt>
                <c:pt idx="13">
                  <c:v>15.499132233137676</c:v>
                </c:pt>
                <c:pt idx="14">
                  <c:v>15.235442404917496</c:v>
                </c:pt>
                <c:pt idx="15">
                  <c:v>14.873652576697316</c:v>
                </c:pt>
                <c:pt idx="16">
                  <c:v>14.413762748477136</c:v>
                </c:pt>
                <c:pt idx="17">
                  <c:v>13.855772920256959</c:v>
                </c:pt>
                <c:pt idx="18">
                  <c:v>13.199683092036778</c:v>
                </c:pt>
                <c:pt idx="19">
                  <c:v>12.445493263816601</c:v>
                </c:pt>
                <c:pt idx="20">
                  <c:v>11.593203435596422</c:v>
                </c:pt>
                <c:pt idx="21">
                  <c:v>10.642813607376244</c:v>
                </c:pt>
                <c:pt idx="22">
                  <c:v>9.5943237791560634</c:v>
                </c:pt>
                <c:pt idx="23">
                  <c:v>8.4477339509358877</c:v>
                </c:pt>
                <c:pt idx="24">
                  <c:v>7.2030441227157063</c:v>
                </c:pt>
                <c:pt idx="25">
                  <c:v>5.8602542944955296</c:v>
                </c:pt>
                <c:pt idx="26">
                  <c:v>4.4193644662753506</c:v>
                </c:pt>
                <c:pt idx="27">
                  <c:v>2.8803746380551658</c:v>
                </c:pt>
                <c:pt idx="28">
                  <c:v>1.2432848098349929</c:v>
                </c:pt>
                <c:pt idx="29">
                  <c:v>-0.49190501838518585</c:v>
                </c:pt>
                <c:pt idx="30">
                  <c:v>-2.3251948466053705</c:v>
                </c:pt>
                <c:pt idx="31">
                  <c:v>-4.2565846748255538</c:v>
                </c:pt>
                <c:pt idx="32">
                  <c:v>-6.2860745030457323</c:v>
                </c:pt>
                <c:pt idx="33">
                  <c:v>-8.4136643312659061</c:v>
                </c:pt>
                <c:pt idx="34">
                  <c:v>-10.639354159486082</c:v>
                </c:pt>
                <c:pt idx="35">
                  <c:v>-12.96314398770626</c:v>
                </c:pt>
                <c:pt idx="36">
                  <c:v>-15.385033815926448</c:v>
                </c:pt>
                <c:pt idx="37">
                  <c:v>-17.905023644146631</c:v>
                </c:pt>
                <c:pt idx="38">
                  <c:v>-20.523113472366795</c:v>
                </c:pt>
                <c:pt idx="39">
                  <c:v>-23.239303300586982</c:v>
                </c:pt>
                <c:pt idx="40">
                  <c:v>-26.053593128807158</c:v>
                </c:pt>
                <c:pt idx="41">
                  <c:v>-28.965982957027343</c:v>
                </c:pt>
                <c:pt idx="42">
                  <c:v>-31.976472785247516</c:v>
                </c:pt>
                <c:pt idx="43">
                  <c:v>-35.085062613467692</c:v>
                </c:pt>
                <c:pt idx="44">
                  <c:v>-38.291752441687883</c:v>
                </c:pt>
                <c:pt idx="45">
                  <c:v>-41.596542269908049</c:v>
                </c:pt>
                <c:pt idx="46">
                  <c:v>-44.999432098128217</c:v>
                </c:pt>
                <c:pt idx="47">
                  <c:v>-48.50042192634843</c:v>
                </c:pt>
                <c:pt idx="48">
                  <c:v>-52.099511754568589</c:v>
                </c:pt>
                <c:pt idx="49">
                  <c:v>-55.796701582788785</c:v>
                </c:pt>
                <c:pt idx="50">
                  <c:v>-59.591991411008934</c:v>
                </c:pt>
                <c:pt idx="51">
                  <c:v>-63.485381239229127</c:v>
                </c:pt>
                <c:pt idx="52">
                  <c:v>-67.476871067449309</c:v>
                </c:pt>
                <c:pt idx="53">
                  <c:v>-71.566460895669479</c:v>
                </c:pt>
                <c:pt idx="54">
                  <c:v>-75.75415072388968</c:v>
                </c:pt>
                <c:pt idx="55">
                  <c:v>-80.03994055210984</c:v>
                </c:pt>
                <c:pt idx="56">
                  <c:v>-84.423830380330003</c:v>
                </c:pt>
                <c:pt idx="57">
                  <c:v>-88.905820208550224</c:v>
                </c:pt>
                <c:pt idx="58">
                  <c:v>-93.485910036770377</c:v>
                </c:pt>
                <c:pt idx="59">
                  <c:v>-98.164099864990561</c:v>
                </c:pt>
                <c:pt idx="60">
                  <c:v>-102.94038969321075</c:v>
                </c:pt>
                <c:pt idx="61">
                  <c:v>-107.81477952143089</c:v>
                </c:pt>
                <c:pt idx="62">
                  <c:v>-112.78726934965113</c:v>
                </c:pt>
                <c:pt idx="63">
                  <c:v>-117.85785917787128</c:v>
                </c:pt>
                <c:pt idx="64">
                  <c:v>-123.0265490060915</c:v>
                </c:pt>
                <c:pt idx="65">
                  <c:v>-128.29333883431164</c:v>
                </c:pt>
                <c:pt idx="66">
                  <c:v>-133.65822866253183</c:v>
                </c:pt>
                <c:pt idx="67">
                  <c:v>-139.12121849075197</c:v>
                </c:pt>
                <c:pt idx="68">
                  <c:v>-144.68230831897216</c:v>
                </c:pt>
                <c:pt idx="69">
                  <c:v>-150.34149814719237</c:v>
                </c:pt>
                <c:pt idx="70">
                  <c:v>-156.09878797541251</c:v>
                </c:pt>
                <c:pt idx="71">
                  <c:v>-161.95417780363269</c:v>
                </c:pt>
                <c:pt idx="72">
                  <c:v>-167.90766763185292</c:v>
                </c:pt>
                <c:pt idx="73">
                  <c:v>-173.95925746007305</c:v>
                </c:pt>
                <c:pt idx="74">
                  <c:v>-180.10894728829328</c:v>
                </c:pt>
                <c:pt idx="75">
                  <c:v>-186.35673711651341</c:v>
                </c:pt>
                <c:pt idx="76">
                  <c:v>-192.70262694473359</c:v>
                </c:pt>
                <c:pt idx="77">
                  <c:v>-199.14661677295385</c:v>
                </c:pt>
                <c:pt idx="78">
                  <c:v>-205.68870660117398</c:v>
                </c:pt>
                <c:pt idx="79">
                  <c:v>-212.32889642939415</c:v>
                </c:pt>
                <c:pt idx="80">
                  <c:v>-219.06718625761431</c:v>
                </c:pt>
                <c:pt idx="81">
                  <c:v>-225.90357608583449</c:v>
                </c:pt>
                <c:pt idx="82">
                  <c:v>-232.83806591405471</c:v>
                </c:pt>
                <c:pt idx="83">
                  <c:v>-239.87065574227492</c:v>
                </c:pt>
                <c:pt idx="84">
                  <c:v>-247.00134557049506</c:v>
                </c:pt>
                <c:pt idx="85">
                  <c:v>-254.23013539871522</c:v>
                </c:pt>
                <c:pt idx="86">
                  <c:v>-261.55702522693537</c:v>
                </c:pt>
                <c:pt idx="87">
                  <c:v>-268.98201505515556</c:v>
                </c:pt>
                <c:pt idx="88">
                  <c:v>-276.50510488337579</c:v>
                </c:pt>
                <c:pt idx="89">
                  <c:v>-284.12629471159596</c:v>
                </c:pt>
                <c:pt idx="90">
                  <c:v>-291.84558453981612</c:v>
                </c:pt>
                <c:pt idx="91">
                  <c:v>-299.66297436803626</c:v>
                </c:pt>
                <c:pt idx="92">
                  <c:v>-307.57846419625639</c:v>
                </c:pt>
                <c:pt idx="93">
                  <c:v>-315.59205402447668</c:v>
                </c:pt>
                <c:pt idx="94">
                  <c:v>-323.7037438526969</c:v>
                </c:pt>
                <c:pt idx="95">
                  <c:v>-331.913533680917</c:v>
                </c:pt>
                <c:pt idx="96">
                  <c:v>-340.2214235091372</c:v>
                </c:pt>
                <c:pt idx="97">
                  <c:v>-348.62741333735732</c:v>
                </c:pt>
                <c:pt idx="98">
                  <c:v>-357.13150316557767</c:v>
                </c:pt>
                <c:pt idx="99">
                  <c:v>-365.73369299379777</c:v>
                </c:pt>
                <c:pt idx="100">
                  <c:v>-374.43398282201787</c:v>
                </c:pt>
                <c:pt idx="101">
                  <c:v>-383.23237265023806</c:v>
                </c:pt>
                <c:pt idx="102">
                  <c:v>-392.12886247845825</c:v>
                </c:pt>
                <c:pt idx="103">
                  <c:v>-401.12345230667853</c:v>
                </c:pt>
                <c:pt idx="104">
                  <c:v>-410.21614213489863</c:v>
                </c:pt>
                <c:pt idx="105">
                  <c:v>-419.40693196311878</c:v>
                </c:pt>
                <c:pt idx="106">
                  <c:v>-428.69582179133897</c:v>
                </c:pt>
                <c:pt idx="107">
                  <c:v>-438.08281161955915</c:v>
                </c:pt>
                <c:pt idx="108">
                  <c:v>-447.56790144777938</c:v>
                </c:pt>
                <c:pt idx="109">
                  <c:v>-457.15109127599953</c:v>
                </c:pt>
                <c:pt idx="110">
                  <c:v>-466.83238110421968</c:v>
                </c:pt>
                <c:pt idx="111">
                  <c:v>-476.61177093243987</c:v>
                </c:pt>
                <c:pt idx="112">
                  <c:v>-486.48926076065999</c:v>
                </c:pt>
                <c:pt idx="113">
                  <c:v>-496.46485058888027</c:v>
                </c:pt>
                <c:pt idx="114">
                  <c:v>-506.53854041710053</c:v>
                </c:pt>
                <c:pt idx="115">
                  <c:v>-516.71033024532062</c:v>
                </c:pt>
                <c:pt idx="116">
                  <c:v>-526.98022007354075</c:v>
                </c:pt>
                <c:pt idx="117">
                  <c:v>-537.34820990176081</c:v>
                </c:pt>
                <c:pt idx="118">
                  <c:v>-547.81429972998114</c:v>
                </c:pt>
                <c:pt idx="119">
                  <c:v>-558.37848955820141</c:v>
                </c:pt>
                <c:pt idx="120">
                  <c:v>-569.04077938642149</c:v>
                </c:pt>
                <c:pt idx="121">
                  <c:v>-579.80116921464173</c:v>
                </c:pt>
                <c:pt idx="122">
                  <c:v>-590.65965904286168</c:v>
                </c:pt>
                <c:pt idx="123">
                  <c:v>-601.61624887108212</c:v>
                </c:pt>
                <c:pt idx="124">
                  <c:v>-612.67093869930227</c:v>
                </c:pt>
                <c:pt idx="125">
                  <c:v>-623.82372852752235</c:v>
                </c:pt>
                <c:pt idx="126">
                  <c:v>-635.07461835574259</c:v>
                </c:pt>
                <c:pt idx="127">
                  <c:v>-646.42360818396264</c:v>
                </c:pt>
                <c:pt idx="128">
                  <c:v>-657.87069801218308</c:v>
                </c:pt>
                <c:pt idx="129">
                  <c:v>-669.415887840403</c:v>
                </c:pt>
                <c:pt idx="130">
                  <c:v>-681.05917766862331</c:v>
                </c:pt>
                <c:pt idx="131">
                  <c:v>-692.80056749684331</c:v>
                </c:pt>
                <c:pt idx="132">
                  <c:v>-704.64005732506359</c:v>
                </c:pt>
                <c:pt idx="133">
                  <c:v>-716.57764715328381</c:v>
                </c:pt>
                <c:pt idx="134">
                  <c:v>-728.61333698150395</c:v>
                </c:pt>
                <c:pt idx="135">
                  <c:v>-740.74712680972425</c:v>
                </c:pt>
                <c:pt idx="136">
                  <c:v>-752.97901663794437</c:v>
                </c:pt>
                <c:pt idx="137">
                  <c:v>-765.30900646616442</c:v>
                </c:pt>
                <c:pt idx="138">
                  <c:v>-777.73709629438486</c:v>
                </c:pt>
                <c:pt idx="139">
                  <c:v>-790.26328612260488</c:v>
                </c:pt>
                <c:pt idx="140">
                  <c:v>-802.88757595082507</c:v>
                </c:pt>
                <c:pt idx="141">
                  <c:v>-815.6099657790453</c:v>
                </c:pt>
                <c:pt idx="142">
                  <c:v>-828.43045560726534</c:v>
                </c:pt>
                <c:pt idx="143">
                  <c:v>-841.34904543548578</c:v>
                </c:pt>
                <c:pt idx="144">
                  <c:v>-854.36573526370591</c:v>
                </c:pt>
                <c:pt idx="145">
                  <c:v>-867.48052509192598</c:v>
                </c:pt>
                <c:pt idx="146">
                  <c:v>-880.6934149201461</c:v>
                </c:pt>
                <c:pt idx="147">
                  <c:v>-894.00440474836614</c:v>
                </c:pt>
                <c:pt idx="148">
                  <c:v>-907.41349457658669</c:v>
                </c:pt>
                <c:pt idx="149">
                  <c:v>-920.92068440480682</c:v>
                </c:pt>
                <c:pt idx="150">
                  <c:v>-934.52597423302677</c:v>
                </c:pt>
                <c:pt idx="151">
                  <c:v>-948.229364061247</c:v>
                </c:pt>
                <c:pt idx="152">
                  <c:v>-962.03085388946715</c:v>
                </c:pt>
                <c:pt idx="153">
                  <c:v>-975.93044371768758</c:v>
                </c:pt>
                <c:pt idx="154">
                  <c:v>-989.92813354590783</c:v>
                </c:pt>
                <c:pt idx="155">
                  <c:v>-1004.0239233741277</c:v>
                </c:pt>
                <c:pt idx="156">
                  <c:v>-1018.217813202348</c:v>
                </c:pt>
                <c:pt idx="157">
                  <c:v>-1032.509803030568</c:v>
                </c:pt>
                <c:pt idx="158">
                  <c:v>-1046.8998928587885</c:v>
                </c:pt>
                <c:pt idx="159">
                  <c:v>-1061.3880826870084</c:v>
                </c:pt>
                <c:pt idx="160">
                  <c:v>-1075.9743725152287</c:v>
                </c:pt>
                <c:pt idx="161">
                  <c:v>-1090.6587623434491</c:v>
                </c:pt>
                <c:pt idx="162">
                  <c:v>-1105.441252171669</c:v>
                </c:pt>
                <c:pt idx="163">
                  <c:v>-1120.3218419998893</c:v>
                </c:pt>
                <c:pt idx="164">
                  <c:v>-1135.3005318281093</c:v>
                </c:pt>
                <c:pt idx="165">
                  <c:v>-1150.3773216563295</c:v>
                </c:pt>
                <c:pt idx="166">
                  <c:v>-1165.5522114845501</c:v>
                </c:pt>
                <c:pt idx="167">
                  <c:v>-1180.8252013127699</c:v>
                </c:pt>
                <c:pt idx="168">
                  <c:v>-1196.1962911409901</c:v>
                </c:pt>
                <c:pt idx="169">
                  <c:v>-1211.66548096921</c:v>
                </c:pt>
                <c:pt idx="170">
                  <c:v>-1227.2327707974305</c:v>
                </c:pt>
                <c:pt idx="171">
                  <c:v>-1242.8981606256509</c:v>
                </c:pt>
                <c:pt idx="172">
                  <c:v>-1258.6616504538708</c:v>
                </c:pt>
                <c:pt idx="173">
                  <c:v>-1274.5232402820911</c:v>
                </c:pt>
                <c:pt idx="174">
                  <c:v>-1290.4829301103109</c:v>
                </c:pt>
                <c:pt idx="175">
                  <c:v>-1306.5407199385313</c:v>
                </c:pt>
                <c:pt idx="176">
                  <c:v>-1322.6966097667519</c:v>
                </c:pt>
                <c:pt idx="177">
                  <c:v>-1338.9505995949717</c:v>
                </c:pt>
                <c:pt idx="178">
                  <c:v>-1355.3026894231921</c:v>
                </c:pt>
                <c:pt idx="179">
                  <c:v>-1371.752879251412</c:v>
                </c:pt>
                <c:pt idx="180">
                  <c:v>-1388.3011690796322</c:v>
                </c:pt>
                <c:pt idx="181">
                  <c:v>-1404.9475589078529</c:v>
                </c:pt>
                <c:pt idx="182">
                  <c:v>-1421.6920487360726</c:v>
                </c:pt>
                <c:pt idx="183">
                  <c:v>-1438.5346385642929</c:v>
                </c:pt>
                <c:pt idx="184">
                  <c:v>-1455.4753283925127</c:v>
                </c:pt>
                <c:pt idx="185">
                  <c:v>-1472.5141182207333</c:v>
                </c:pt>
                <c:pt idx="186">
                  <c:v>-1489.6510080489534</c:v>
                </c:pt>
                <c:pt idx="187">
                  <c:v>-1506.8859978771734</c:v>
                </c:pt>
                <c:pt idx="188">
                  <c:v>-1524.219087705394</c:v>
                </c:pt>
                <c:pt idx="189">
                  <c:v>-1541.6502775336135</c:v>
                </c:pt>
                <c:pt idx="190">
                  <c:v>-1559.1795673618342</c:v>
                </c:pt>
                <c:pt idx="191">
                  <c:v>-1576.8069571900546</c:v>
                </c:pt>
                <c:pt idx="192">
                  <c:v>-1594.5324470182743</c:v>
                </c:pt>
                <c:pt idx="193">
                  <c:v>-1612.3560368464946</c:v>
                </c:pt>
                <c:pt idx="194">
                  <c:v>-1630.2777266747146</c:v>
                </c:pt>
                <c:pt idx="195">
                  <c:v>-1648.297516502935</c:v>
                </c:pt>
                <c:pt idx="196">
                  <c:v>-1666.4154063311555</c:v>
                </c:pt>
                <c:pt idx="197">
                  <c:v>-1684.6313961593751</c:v>
                </c:pt>
                <c:pt idx="198">
                  <c:v>-1702.9454859875957</c:v>
                </c:pt>
                <c:pt idx="199">
                  <c:v>-1721.3576758158154</c:v>
                </c:pt>
                <c:pt idx="200">
                  <c:v>-1739.8679656440358</c:v>
                </c:pt>
                <c:pt idx="201">
                  <c:v>-1758.4763554722563</c:v>
                </c:pt>
                <c:pt idx="202">
                  <c:v>-1777.1828453004759</c:v>
                </c:pt>
                <c:pt idx="203">
                  <c:v>-1795.9874351286965</c:v>
                </c:pt>
                <c:pt idx="204">
                  <c:v>-1814.8901249569165</c:v>
                </c:pt>
                <c:pt idx="205">
                  <c:v>-1833.8909147851368</c:v>
                </c:pt>
                <c:pt idx="206">
                  <c:v>-1852.9898046133571</c:v>
                </c:pt>
                <c:pt idx="207">
                  <c:v>-1872.1867944415769</c:v>
                </c:pt>
                <c:pt idx="208">
                  <c:v>-1891.4818842697973</c:v>
                </c:pt>
                <c:pt idx="209">
                  <c:v>-1910.8750740980174</c:v>
                </c:pt>
                <c:pt idx="210">
                  <c:v>-1930.3663639262377</c:v>
                </c:pt>
                <c:pt idx="211">
                  <c:v>-1949.9557537544579</c:v>
                </c:pt>
                <c:pt idx="212">
                  <c:v>-1969.643243582678</c:v>
                </c:pt>
                <c:pt idx="213">
                  <c:v>-1989.4288334108983</c:v>
                </c:pt>
                <c:pt idx="214">
                  <c:v>-2009.3125232391183</c:v>
                </c:pt>
                <c:pt idx="215">
                  <c:v>-2029.2943130673389</c:v>
                </c:pt>
                <c:pt idx="216">
                  <c:v>-2049.3742028955589</c:v>
                </c:pt>
                <c:pt idx="217">
                  <c:v>-2069.5521927237792</c:v>
                </c:pt>
                <c:pt idx="218">
                  <c:v>-2089.8282825519991</c:v>
                </c:pt>
                <c:pt idx="219">
                  <c:v>-2110.2024723802188</c:v>
                </c:pt>
                <c:pt idx="220">
                  <c:v>-2130.6747622084395</c:v>
                </c:pt>
                <c:pt idx="221">
                  <c:v>-2151.2451520366599</c:v>
                </c:pt>
                <c:pt idx="222">
                  <c:v>-2171.9136418648795</c:v>
                </c:pt>
                <c:pt idx="223">
                  <c:v>-2192.6802316931003</c:v>
                </c:pt>
                <c:pt idx="224">
                  <c:v>-2213.5449215213198</c:v>
                </c:pt>
                <c:pt idx="225">
                  <c:v>-2234.5077113495404</c:v>
                </c:pt>
                <c:pt idx="226">
                  <c:v>-2255.5686011777607</c:v>
                </c:pt>
                <c:pt idx="227">
                  <c:v>-2276.7275910059807</c:v>
                </c:pt>
                <c:pt idx="228">
                  <c:v>-2297.9846808342013</c:v>
                </c:pt>
                <c:pt idx="229">
                  <c:v>-2319.3398706624207</c:v>
                </c:pt>
                <c:pt idx="230">
                  <c:v>-2340.7931604906416</c:v>
                </c:pt>
                <c:pt idx="231">
                  <c:v>-2362.3445503188614</c:v>
                </c:pt>
                <c:pt idx="232">
                  <c:v>-2383.9940401470813</c:v>
                </c:pt>
                <c:pt idx="233">
                  <c:v>-2405.7416299753017</c:v>
                </c:pt>
                <c:pt idx="234">
                  <c:v>-2427.5873198035215</c:v>
                </c:pt>
                <c:pt idx="235">
                  <c:v>-2449.5311096317423</c:v>
                </c:pt>
                <c:pt idx="236">
                  <c:v>-2471.5729994599624</c:v>
                </c:pt>
                <c:pt idx="237">
                  <c:v>-2493.7129892881821</c:v>
                </c:pt>
                <c:pt idx="238">
                  <c:v>-2515.951079116403</c:v>
                </c:pt>
                <c:pt idx="239">
                  <c:v>-2538.2872689446226</c:v>
                </c:pt>
                <c:pt idx="240">
                  <c:v>-2560.7215587728433</c:v>
                </c:pt>
                <c:pt idx="241">
                  <c:v>-2583.2539486010637</c:v>
                </c:pt>
                <c:pt idx="242">
                  <c:v>-2605.8844384292834</c:v>
                </c:pt>
                <c:pt idx="243">
                  <c:v>-2628.6130282575036</c:v>
                </c:pt>
                <c:pt idx="244">
                  <c:v>-2651.4397180857231</c:v>
                </c:pt>
                <c:pt idx="245">
                  <c:v>-2674.3645079139442</c:v>
                </c:pt>
                <c:pt idx="246">
                  <c:v>-2697.3873977421645</c:v>
                </c:pt>
                <c:pt idx="247">
                  <c:v>-2720.5083875703835</c:v>
                </c:pt>
                <c:pt idx="248">
                  <c:v>-2743.7274773986051</c:v>
                </c:pt>
                <c:pt idx="249">
                  <c:v>-2767.044667226824</c:v>
                </c:pt>
                <c:pt idx="250">
                  <c:v>-2790.4599570550445</c:v>
                </c:pt>
                <c:pt idx="251">
                  <c:v>-2813.9733468832655</c:v>
                </c:pt>
                <c:pt idx="252">
                  <c:v>-2837.584836711485</c:v>
                </c:pt>
                <c:pt idx="253">
                  <c:v>-2861.2944265397059</c:v>
                </c:pt>
                <c:pt idx="254">
                  <c:v>-2885.1021163679252</c:v>
                </c:pt>
                <c:pt idx="255">
                  <c:v>-2909.007906196146</c:v>
                </c:pt>
                <c:pt idx="256">
                  <c:v>-2933.0117960243665</c:v>
                </c:pt>
                <c:pt idx="257">
                  <c:v>-2957.1137858525863</c:v>
                </c:pt>
                <c:pt idx="258">
                  <c:v>-2981.3138756808062</c:v>
                </c:pt>
                <c:pt idx="259">
                  <c:v>-3005.6120655090263</c:v>
                </c:pt>
                <c:pt idx="260">
                  <c:v>-3030.0083553372469</c:v>
                </c:pt>
                <c:pt idx="261">
                  <c:v>-3054.5027451654669</c:v>
                </c:pt>
                <c:pt idx="262">
                  <c:v>-3079.0952349936865</c:v>
                </c:pt>
                <c:pt idx="263">
                  <c:v>-3103.7858248219077</c:v>
                </c:pt>
                <c:pt idx="264">
                  <c:v>-3128.5745146501272</c:v>
                </c:pt>
                <c:pt idx="265">
                  <c:v>-3153.4613044783473</c:v>
                </c:pt>
                <c:pt idx="266">
                  <c:v>-3178.446194306568</c:v>
                </c:pt>
                <c:pt idx="267">
                  <c:v>-3203.5291841347876</c:v>
                </c:pt>
                <c:pt idx="268">
                  <c:v>-3228.7102739630081</c:v>
                </c:pt>
                <c:pt idx="269">
                  <c:v>-3253.989463791228</c:v>
                </c:pt>
                <c:pt idx="270">
                  <c:v>-3279.3667536194484</c:v>
                </c:pt>
                <c:pt idx="271">
                  <c:v>-3304.8421434476691</c:v>
                </c:pt>
                <c:pt idx="272">
                  <c:v>-3330.4156332758885</c:v>
                </c:pt>
                <c:pt idx="273">
                  <c:v>-3356.0872231041094</c:v>
                </c:pt>
                <c:pt idx="274">
                  <c:v>-3381.8569129323287</c:v>
                </c:pt>
                <c:pt idx="275">
                  <c:v>-3407.724702760549</c:v>
                </c:pt>
                <c:pt idx="276">
                  <c:v>-3433.69059258877</c:v>
                </c:pt>
                <c:pt idx="277">
                  <c:v>-3459.7545824169893</c:v>
                </c:pt>
                <c:pt idx="278">
                  <c:v>-3485.9166722452101</c:v>
                </c:pt>
                <c:pt idx="279">
                  <c:v>-3512.1768620734301</c:v>
                </c:pt>
                <c:pt idx="280">
                  <c:v>-3538.5351519016499</c:v>
                </c:pt>
                <c:pt idx="281">
                  <c:v>-3564.9915417298712</c:v>
                </c:pt>
                <c:pt idx="282">
                  <c:v>-3591.5460315580908</c:v>
                </c:pt>
                <c:pt idx="283">
                  <c:v>-3618.1986213863111</c:v>
                </c:pt>
                <c:pt idx="284">
                  <c:v>-3644.9493112145306</c:v>
                </c:pt>
                <c:pt idx="285">
                  <c:v>-3671.7981010427511</c:v>
                </c:pt>
                <c:pt idx="286">
                  <c:v>-3698.7449908709718</c:v>
                </c:pt>
                <c:pt idx="287">
                  <c:v>-3725.7899806991913</c:v>
                </c:pt>
                <c:pt idx="288">
                  <c:v>-3752.9330705274124</c:v>
                </c:pt>
                <c:pt idx="289">
                  <c:v>-3780.1742603556313</c:v>
                </c:pt>
                <c:pt idx="290">
                  <c:v>-3807.5135501838522</c:v>
                </c:pt>
                <c:pt idx="291">
                  <c:v>-3834.9509400120728</c:v>
                </c:pt>
                <c:pt idx="292">
                  <c:v>-3862.4864298402922</c:v>
                </c:pt>
                <c:pt idx="293">
                  <c:v>-3890.1200196685131</c:v>
                </c:pt>
                <c:pt idx="294">
                  <c:v>-3917.8517094967319</c:v>
                </c:pt>
                <c:pt idx="295">
                  <c:v>-3945.6814993249527</c:v>
                </c:pt>
                <c:pt idx="296">
                  <c:v>-3973.6093891531741</c:v>
                </c:pt>
                <c:pt idx="297">
                  <c:v>-4001.6353789813925</c:v>
                </c:pt>
                <c:pt idx="298">
                  <c:v>-4029.7594688096137</c:v>
                </c:pt>
                <c:pt idx="299">
                  <c:v>-4057.9816586378329</c:v>
                </c:pt>
                <c:pt idx="300">
                  <c:v>-4086.3019484660535</c:v>
                </c:pt>
                <c:pt idx="301">
                  <c:v>-4114.7203382942744</c:v>
                </c:pt>
                <c:pt idx="302">
                  <c:v>-4143.2368281224935</c:v>
                </c:pt>
                <c:pt idx="303">
                  <c:v>-4171.8514179507147</c:v>
                </c:pt>
                <c:pt idx="304">
                  <c:v>-4200.5641077789342</c:v>
                </c:pt>
                <c:pt idx="305">
                  <c:v>-4229.3748976071547</c:v>
                </c:pt>
                <c:pt idx="306">
                  <c:v>-4258.2837874353754</c:v>
                </c:pt>
                <c:pt idx="307">
                  <c:v>-4287.2907772635954</c:v>
                </c:pt>
                <c:pt idx="308">
                  <c:v>-4316.3958670918164</c:v>
                </c:pt>
                <c:pt idx="309">
                  <c:v>-4345.5990569200358</c:v>
                </c:pt>
                <c:pt idx="310">
                  <c:v>-4374.9003467482553</c:v>
                </c:pt>
                <c:pt idx="311">
                  <c:v>-4404.2997365764759</c:v>
                </c:pt>
                <c:pt idx="312">
                  <c:v>-4433.7972264046966</c:v>
                </c:pt>
                <c:pt idx="313">
                  <c:v>-4463.3928162329166</c:v>
                </c:pt>
                <c:pt idx="314">
                  <c:v>-4493.0865060611359</c:v>
                </c:pt>
                <c:pt idx="315">
                  <c:v>-4522.8782958893562</c:v>
                </c:pt>
                <c:pt idx="316">
                  <c:v>-4552.7681857175767</c:v>
                </c:pt>
                <c:pt idx="317">
                  <c:v>-4582.7561755457973</c:v>
                </c:pt>
                <c:pt idx="318">
                  <c:v>-4612.8422653740172</c:v>
                </c:pt>
                <c:pt idx="319">
                  <c:v>-4643.0264552022372</c:v>
                </c:pt>
                <c:pt idx="320">
                  <c:v>-4673.3087450304574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6A-490F-B7C1-981A84A11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1076952"/>
        <c:axId val="561077608"/>
      </c:scatterChart>
      <c:valAx>
        <c:axId val="561076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Horizontal Displacement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7608"/>
        <c:crosses val="autoZero"/>
        <c:crossBetween val="midCat"/>
      </c:valAx>
      <c:valAx>
        <c:axId val="561077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D"/>
                  <a:t>Vertical</a:t>
                </a:r>
                <a:r>
                  <a:rPr lang="en-ID" baseline="0"/>
                  <a:t> Displacement (m)</a:t>
                </a:r>
                <a:endParaRPr lang="en-ID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D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1076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chart" Target="../charts/chart5.xml"/><Relationship Id="rId18" Type="http://schemas.openxmlformats.org/officeDocument/2006/relationships/chart" Target="../charts/chart10.xml"/><Relationship Id="rId26" Type="http://schemas.openxmlformats.org/officeDocument/2006/relationships/chart" Target="../charts/chart18.xml"/><Relationship Id="rId3" Type="http://schemas.openxmlformats.org/officeDocument/2006/relationships/image" Target="../media/image3.png"/><Relationship Id="rId21" Type="http://schemas.openxmlformats.org/officeDocument/2006/relationships/chart" Target="../charts/chart13.xml"/><Relationship Id="rId7" Type="http://schemas.openxmlformats.org/officeDocument/2006/relationships/image" Target="../media/image7.png"/><Relationship Id="rId12" Type="http://schemas.openxmlformats.org/officeDocument/2006/relationships/chart" Target="../charts/chart4.xml"/><Relationship Id="rId17" Type="http://schemas.openxmlformats.org/officeDocument/2006/relationships/chart" Target="../charts/chart9.xml"/><Relationship Id="rId25" Type="http://schemas.openxmlformats.org/officeDocument/2006/relationships/chart" Target="../charts/chart17.xml"/><Relationship Id="rId2" Type="http://schemas.openxmlformats.org/officeDocument/2006/relationships/image" Target="../media/image2.png"/><Relationship Id="rId16" Type="http://schemas.openxmlformats.org/officeDocument/2006/relationships/chart" Target="../charts/chart8.xml"/><Relationship Id="rId20" Type="http://schemas.openxmlformats.org/officeDocument/2006/relationships/chart" Target="../charts/chart12.xm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chart" Target="../charts/chart3.xml"/><Relationship Id="rId24" Type="http://schemas.openxmlformats.org/officeDocument/2006/relationships/chart" Target="../charts/chart16.xml"/><Relationship Id="rId5" Type="http://schemas.openxmlformats.org/officeDocument/2006/relationships/image" Target="../media/image5.png"/><Relationship Id="rId15" Type="http://schemas.openxmlformats.org/officeDocument/2006/relationships/chart" Target="../charts/chart7.xml"/><Relationship Id="rId23" Type="http://schemas.openxmlformats.org/officeDocument/2006/relationships/chart" Target="../charts/chart15.xml"/><Relationship Id="rId28" Type="http://schemas.openxmlformats.org/officeDocument/2006/relationships/image" Target="../media/image9.png"/><Relationship Id="rId10" Type="http://schemas.openxmlformats.org/officeDocument/2006/relationships/chart" Target="../charts/chart2.xml"/><Relationship Id="rId19" Type="http://schemas.openxmlformats.org/officeDocument/2006/relationships/chart" Target="../charts/chart11.xml"/><Relationship Id="rId4" Type="http://schemas.openxmlformats.org/officeDocument/2006/relationships/image" Target="../media/image4.png"/><Relationship Id="rId9" Type="http://schemas.openxmlformats.org/officeDocument/2006/relationships/chart" Target="../charts/chart1.xml"/><Relationship Id="rId14" Type="http://schemas.openxmlformats.org/officeDocument/2006/relationships/chart" Target="../charts/chart6.xml"/><Relationship Id="rId22" Type="http://schemas.openxmlformats.org/officeDocument/2006/relationships/chart" Target="../charts/chart14.xml"/><Relationship Id="rId27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266699</xdr:colOff>
      <xdr:row>0</xdr:row>
      <xdr:rowOff>0</xdr:rowOff>
    </xdr:from>
    <xdr:to>
      <xdr:col>11</xdr:col>
      <xdr:colOff>1389303</xdr:colOff>
      <xdr:row>1</xdr:row>
      <xdr:rowOff>27382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CC4D5-9E44-FA6A-68B4-DA7E8E33E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4" y="0"/>
          <a:ext cx="1137844" cy="39600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190501</xdr:colOff>
      <xdr:row>1</xdr:row>
      <xdr:rowOff>1</xdr:rowOff>
    </xdr:from>
    <xdr:to>
      <xdr:col>11</xdr:col>
      <xdr:colOff>1545050</xdr:colOff>
      <xdr:row>2</xdr:row>
      <xdr:rowOff>27383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1E2B6CE-2576-E058-53AD-2BAC04A2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20251" y="381001"/>
          <a:ext cx="1354549" cy="403620"/>
        </a:xfrm>
        <a:prstGeom prst="rect">
          <a:avLst/>
        </a:prstGeom>
      </xdr:spPr>
    </xdr:pic>
    <xdr:clientData/>
  </xdr:twoCellAnchor>
  <xdr:twoCellAnchor editAs="oneCell">
    <xdr:from>
      <xdr:col>11</xdr:col>
      <xdr:colOff>59055</xdr:colOff>
      <xdr:row>2</xdr:row>
      <xdr:rowOff>30479</xdr:rowOff>
    </xdr:from>
    <xdr:to>
      <xdr:col>11</xdr:col>
      <xdr:colOff>1981688</xdr:colOff>
      <xdr:row>3</xdr:row>
      <xdr:rowOff>17144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2AF91AA-0E37-CF00-6DC2-66B770A7C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488805" y="792479"/>
          <a:ext cx="1922633" cy="449580"/>
        </a:xfrm>
        <a:prstGeom prst="rect">
          <a:avLst/>
        </a:prstGeom>
      </xdr:spPr>
    </xdr:pic>
    <xdr:clientData/>
  </xdr:twoCellAnchor>
  <xdr:twoCellAnchor editAs="oneCell">
    <xdr:from>
      <xdr:col>11</xdr:col>
      <xdr:colOff>398145</xdr:colOff>
      <xdr:row>3</xdr:row>
      <xdr:rowOff>17145</xdr:rowOff>
    </xdr:from>
    <xdr:to>
      <xdr:col>11</xdr:col>
      <xdr:colOff>1503457</xdr:colOff>
      <xdr:row>4</xdr:row>
      <xdr:rowOff>27382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5D4EBEC-1B78-BA4C-D69B-01308D4FD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27895" y="1245870"/>
          <a:ext cx="1105312" cy="396000"/>
        </a:xfrm>
        <a:prstGeom prst="rect">
          <a:avLst/>
        </a:prstGeom>
      </xdr:spPr>
    </xdr:pic>
    <xdr:clientData/>
  </xdr:twoCellAnchor>
  <xdr:twoCellAnchor editAs="oneCell">
    <xdr:from>
      <xdr:col>11</xdr:col>
      <xdr:colOff>323850</xdr:colOff>
      <xdr:row>4</xdr:row>
      <xdr:rowOff>0</xdr:rowOff>
    </xdr:from>
    <xdr:to>
      <xdr:col>11</xdr:col>
      <xdr:colOff>1599237</xdr:colOff>
      <xdr:row>5</xdr:row>
      <xdr:rowOff>27382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BF06B6F-F569-0F84-117E-F868C1641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753600" y="1609725"/>
          <a:ext cx="1275387" cy="399810"/>
        </a:xfrm>
        <a:prstGeom prst="rect">
          <a:avLst/>
        </a:prstGeom>
      </xdr:spPr>
    </xdr:pic>
    <xdr:clientData/>
  </xdr:twoCellAnchor>
  <xdr:twoCellAnchor editAs="oneCell">
    <xdr:from>
      <xdr:col>11</xdr:col>
      <xdr:colOff>335280</xdr:colOff>
      <xdr:row>5</xdr:row>
      <xdr:rowOff>0</xdr:rowOff>
    </xdr:from>
    <xdr:to>
      <xdr:col>11</xdr:col>
      <xdr:colOff>1601292</xdr:colOff>
      <xdr:row>6</xdr:row>
      <xdr:rowOff>18810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01FBA0F-2F9D-C4DA-A333-D9A0340EC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65030" y="1990725"/>
          <a:ext cx="1266012" cy="399810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</xdr:colOff>
      <xdr:row>7</xdr:row>
      <xdr:rowOff>36196</xdr:rowOff>
    </xdr:from>
    <xdr:to>
      <xdr:col>3</xdr:col>
      <xdr:colOff>361949</xdr:colOff>
      <xdr:row>7</xdr:row>
      <xdr:rowOff>325404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2AC1A67-997E-B819-AE4C-A73A0DF6E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49805" y="2827021"/>
          <a:ext cx="1036320" cy="278731"/>
        </a:xfrm>
        <a:prstGeom prst="rect">
          <a:avLst/>
        </a:prstGeom>
      </xdr:spPr>
    </xdr:pic>
    <xdr:clientData/>
  </xdr:twoCellAnchor>
  <xdr:twoCellAnchor editAs="oneCell">
    <xdr:from>
      <xdr:col>2</xdr:col>
      <xdr:colOff>26670</xdr:colOff>
      <xdr:row>7</xdr:row>
      <xdr:rowOff>340994</xdr:rowOff>
    </xdr:from>
    <xdr:to>
      <xdr:col>4</xdr:col>
      <xdr:colOff>210723</xdr:colOff>
      <xdr:row>8</xdr:row>
      <xdr:rowOff>169545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2D10848-69D5-2FC9-2E00-95620F1C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179320" y="3131819"/>
          <a:ext cx="1565179" cy="337185"/>
        </a:xfrm>
        <a:prstGeom prst="rect">
          <a:avLst/>
        </a:prstGeom>
      </xdr:spPr>
    </xdr:pic>
    <xdr:clientData/>
  </xdr:twoCellAnchor>
  <xdr:twoCellAnchor>
    <xdr:from>
      <xdr:col>3</xdr:col>
      <xdr:colOff>601027</xdr:colOff>
      <xdr:row>11</xdr:row>
      <xdr:rowOff>106679</xdr:rowOff>
    </xdr:from>
    <xdr:to>
      <xdr:col>8</xdr:col>
      <xdr:colOff>1074420</xdr:colOff>
      <xdr:row>26</xdr:row>
      <xdr:rowOff>124777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FC37C0F-7F00-D6F9-FF01-0D9B06AC75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 fLocksWithSheet="0"/>
  </xdr:twoCellAnchor>
  <xdr:twoCellAnchor>
    <xdr:from>
      <xdr:col>3</xdr:col>
      <xdr:colOff>588645</xdr:colOff>
      <xdr:row>26</xdr:row>
      <xdr:rowOff>143827</xdr:rowOff>
    </xdr:from>
    <xdr:to>
      <xdr:col>8</xdr:col>
      <xdr:colOff>1078230</xdr:colOff>
      <xdr:row>41</xdr:row>
      <xdr:rowOff>170497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47CCE6AE-2BFC-5F9E-3556-C6572890D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 fLocksWithSheet="0"/>
  </xdr:twoCellAnchor>
  <xdr:twoCellAnchor>
    <xdr:from>
      <xdr:col>3</xdr:col>
      <xdr:colOff>592455</xdr:colOff>
      <xdr:row>42</xdr:row>
      <xdr:rowOff>4762</xdr:rowOff>
    </xdr:from>
    <xdr:to>
      <xdr:col>8</xdr:col>
      <xdr:colOff>1082040</xdr:colOff>
      <xdr:row>57</xdr:row>
      <xdr:rowOff>37147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5D100CB2-668B-93FA-ACA2-014C6673D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 fLocksWithSheet="0"/>
  </xdr:twoCellAnchor>
  <xdr:twoCellAnchor>
    <xdr:from>
      <xdr:col>3</xdr:col>
      <xdr:colOff>584835</xdr:colOff>
      <xdr:row>57</xdr:row>
      <xdr:rowOff>52387</xdr:rowOff>
    </xdr:from>
    <xdr:to>
      <xdr:col>8</xdr:col>
      <xdr:colOff>1082040</xdr:colOff>
      <xdr:row>72</xdr:row>
      <xdr:rowOff>82867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853670FC-0523-CCC3-CA69-66E4AF222E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 fLocksWithSheet="0"/>
  </xdr:twoCellAnchor>
  <xdr:twoCellAnchor>
    <xdr:from>
      <xdr:col>3</xdr:col>
      <xdr:colOff>588645</xdr:colOff>
      <xdr:row>72</xdr:row>
      <xdr:rowOff>105727</xdr:rowOff>
    </xdr:from>
    <xdr:to>
      <xdr:col>8</xdr:col>
      <xdr:colOff>1085850</xdr:colOff>
      <xdr:row>87</xdr:row>
      <xdr:rowOff>134302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5136EAD-E9EF-469C-1CC3-49D2687CA6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 fLocksWithSheet="0"/>
  </xdr:twoCellAnchor>
  <xdr:twoCellAnchor>
    <xdr:from>
      <xdr:col>3</xdr:col>
      <xdr:colOff>598170</xdr:colOff>
      <xdr:row>87</xdr:row>
      <xdr:rowOff>160972</xdr:rowOff>
    </xdr:from>
    <xdr:to>
      <xdr:col>8</xdr:col>
      <xdr:colOff>1095375</xdr:colOff>
      <xdr:row>103</xdr:row>
      <xdr:rowOff>2857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EE4CD6D-6AD3-4F08-6ECD-C12737902C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 fLocksWithSheet="0"/>
  </xdr:twoCellAnchor>
  <xdr:twoCellAnchor>
    <xdr:from>
      <xdr:col>3</xdr:col>
      <xdr:colOff>600075</xdr:colOff>
      <xdr:row>103</xdr:row>
      <xdr:rowOff>40957</xdr:rowOff>
    </xdr:from>
    <xdr:to>
      <xdr:col>8</xdr:col>
      <xdr:colOff>1097280</xdr:colOff>
      <xdr:row>118</xdr:row>
      <xdr:rowOff>61912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06501C31-FC44-3C19-EA22-C2224AE45A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 fLocksWithSheet="0"/>
  </xdr:twoCellAnchor>
  <xdr:twoCellAnchor>
    <xdr:from>
      <xdr:col>3</xdr:col>
      <xdr:colOff>600075</xdr:colOff>
      <xdr:row>118</xdr:row>
      <xdr:rowOff>100012</xdr:rowOff>
    </xdr:from>
    <xdr:to>
      <xdr:col>8</xdr:col>
      <xdr:colOff>1097280</xdr:colOff>
      <xdr:row>133</xdr:row>
      <xdr:rowOff>117157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E7EB5B39-ACF3-B6FE-F782-D607349262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 fLocksWithSheet="0"/>
  </xdr:twoCellAnchor>
  <xdr:twoCellAnchor>
    <xdr:from>
      <xdr:col>3</xdr:col>
      <xdr:colOff>598170</xdr:colOff>
      <xdr:row>133</xdr:row>
      <xdr:rowOff>151447</xdr:rowOff>
    </xdr:from>
    <xdr:to>
      <xdr:col>8</xdr:col>
      <xdr:colOff>1095375</xdr:colOff>
      <xdr:row>148</xdr:row>
      <xdr:rowOff>172402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42919E8C-9FF8-74F4-6198-B00A544559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 fLocksWithSheet="0"/>
  </xdr:twoCellAnchor>
  <xdr:twoCellAnchor>
    <xdr:from>
      <xdr:col>3</xdr:col>
      <xdr:colOff>594360</xdr:colOff>
      <xdr:row>149</xdr:row>
      <xdr:rowOff>25717</xdr:rowOff>
    </xdr:from>
    <xdr:to>
      <xdr:col>8</xdr:col>
      <xdr:colOff>1091565</xdr:colOff>
      <xdr:row>164</xdr:row>
      <xdr:rowOff>42862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94A4D19E-2A9F-3628-AAFB-FAA5B6505A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 fLocksWithSheet="0"/>
  </xdr:twoCellAnchor>
  <xdr:twoCellAnchor>
    <xdr:from>
      <xdr:col>3</xdr:col>
      <xdr:colOff>586740</xdr:colOff>
      <xdr:row>164</xdr:row>
      <xdr:rowOff>65722</xdr:rowOff>
    </xdr:from>
    <xdr:to>
      <xdr:col>8</xdr:col>
      <xdr:colOff>1083945</xdr:colOff>
      <xdr:row>179</xdr:row>
      <xdr:rowOff>96202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2B3B5AF4-3501-7247-DBA8-2CD3A7926B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 fLocksWithSheet="0"/>
  </xdr:twoCellAnchor>
  <xdr:twoCellAnchor>
    <xdr:from>
      <xdr:col>3</xdr:col>
      <xdr:colOff>596265</xdr:colOff>
      <xdr:row>179</xdr:row>
      <xdr:rowOff>101917</xdr:rowOff>
    </xdr:from>
    <xdr:to>
      <xdr:col>8</xdr:col>
      <xdr:colOff>1093470</xdr:colOff>
      <xdr:row>194</xdr:row>
      <xdr:rowOff>126682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88FB457C-D9BD-968B-1B7F-D4DAAB4CA3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 fLocksWithSheet="0"/>
  </xdr:twoCellAnchor>
  <xdr:twoCellAnchor>
    <xdr:from>
      <xdr:col>3</xdr:col>
      <xdr:colOff>594360</xdr:colOff>
      <xdr:row>194</xdr:row>
      <xdr:rowOff>132397</xdr:rowOff>
    </xdr:from>
    <xdr:to>
      <xdr:col>8</xdr:col>
      <xdr:colOff>1093470</xdr:colOff>
      <xdr:row>209</xdr:row>
      <xdr:rowOff>164782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0720E2D8-E046-A9D1-D052-AB3DDA2BB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 fLocksWithSheet="0"/>
  </xdr:twoCellAnchor>
  <xdr:twoCellAnchor>
    <xdr:from>
      <xdr:col>3</xdr:col>
      <xdr:colOff>588645</xdr:colOff>
      <xdr:row>209</xdr:row>
      <xdr:rowOff>174307</xdr:rowOff>
    </xdr:from>
    <xdr:to>
      <xdr:col>8</xdr:col>
      <xdr:colOff>1089660</xdr:colOff>
      <xdr:row>225</xdr:row>
      <xdr:rowOff>25717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BFE384E4-33F3-1693-2F81-41A0E16D79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 fLocksWithSheet="0"/>
  </xdr:twoCellAnchor>
  <xdr:twoCellAnchor>
    <xdr:from>
      <xdr:col>3</xdr:col>
      <xdr:colOff>594360</xdr:colOff>
      <xdr:row>225</xdr:row>
      <xdr:rowOff>23812</xdr:rowOff>
    </xdr:from>
    <xdr:to>
      <xdr:col>8</xdr:col>
      <xdr:colOff>1087755</xdr:colOff>
      <xdr:row>240</xdr:row>
      <xdr:rowOff>56197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D00641F-8510-3AD5-8015-D66D0D3741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 fLocksWithSheet="0"/>
  </xdr:twoCellAnchor>
  <xdr:twoCellAnchor>
    <xdr:from>
      <xdr:col>3</xdr:col>
      <xdr:colOff>588645</xdr:colOff>
      <xdr:row>240</xdr:row>
      <xdr:rowOff>50482</xdr:rowOff>
    </xdr:from>
    <xdr:to>
      <xdr:col>8</xdr:col>
      <xdr:colOff>1082040</xdr:colOff>
      <xdr:row>255</xdr:row>
      <xdr:rowOff>90487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CA3AA21-D5F1-EA74-CDB2-577B349A5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 fLocksWithSheet="0"/>
  </xdr:twoCellAnchor>
  <xdr:twoCellAnchor>
    <xdr:from>
      <xdr:col>3</xdr:col>
      <xdr:colOff>594360</xdr:colOff>
      <xdr:row>255</xdr:row>
      <xdr:rowOff>88582</xdr:rowOff>
    </xdr:from>
    <xdr:to>
      <xdr:col>8</xdr:col>
      <xdr:colOff>1087755</xdr:colOff>
      <xdr:row>270</xdr:row>
      <xdr:rowOff>128587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329913AF-E730-8D17-FD39-5B396258FE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 fLocksWithSheet="0"/>
  </xdr:twoCellAnchor>
  <xdr:twoCellAnchor>
    <xdr:from>
      <xdr:col>3</xdr:col>
      <xdr:colOff>588645</xdr:colOff>
      <xdr:row>270</xdr:row>
      <xdr:rowOff>130492</xdr:rowOff>
    </xdr:from>
    <xdr:to>
      <xdr:col>8</xdr:col>
      <xdr:colOff>1082040</xdr:colOff>
      <xdr:row>285</xdr:row>
      <xdr:rowOff>170497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C9BFE359-79D2-4486-4A14-4F208D56B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 fLocksWithSheet="0"/>
  </xdr:twoCellAnchor>
  <xdr:twoCellAnchor>
    <xdr:from>
      <xdr:col>3</xdr:col>
      <xdr:colOff>594360</xdr:colOff>
      <xdr:row>285</xdr:row>
      <xdr:rowOff>176212</xdr:rowOff>
    </xdr:from>
    <xdr:to>
      <xdr:col>8</xdr:col>
      <xdr:colOff>1087755</xdr:colOff>
      <xdr:row>301</xdr:row>
      <xdr:rowOff>35242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9431DACD-C4E8-2DA5-31AE-4249E4DF02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 fLocksWithSheet="0"/>
  </xdr:twoCellAnchor>
  <xdr:twoCellAnchor editAs="oneCell">
    <xdr:from>
      <xdr:col>13</xdr:col>
      <xdr:colOff>11430</xdr:colOff>
      <xdr:row>3</xdr:row>
      <xdr:rowOff>65680</xdr:rowOff>
    </xdr:from>
    <xdr:to>
      <xdr:col>15</xdr:col>
      <xdr:colOff>514781</xdr:colOff>
      <xdr:row>11</xdr:row>
      <xdr:rowOff>45447</xdr:rowOff>
    </xdr:to>
    <xdr:pic>
      <xdr:nvPicPr>
        <xdr:cNvPr id="56" name="Picture 55" descr="SUVAT or not SUVAT, this is the question (part 1) – Let's have fun with  Physics!">
          <a:extLst>
            <a:ext uri="{FF2B5EF4-FFF2-40B4-BE49-F238E27FC236}">
              <a16:creationId xmlns:a16="http://schemas.microsoft.com/office/drawing/2014/main" id="{44C423BD-A8FF-F155-2303-977B47FFE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77109" y="1290323"/>
          <a:ext cx="2435565" cy="26467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42"/>
  <sheetViews>
    <sheetView tabSelected="1" zoomScale="70" zoomScaleNormal="70" workbookViewId="0">
      <selection activeCell="M33" sqref="M33"/>
    </sheetView>
  </sheetViews>
  <sheetFormatPr defaultRowHeight="14.25" x14ac:dyDescent="0.45"/>
  <cols>
    <col min="1" max="1" width="24.1328125" customWidth="1"/>
    <col min="2" max="2" width="17.46484375" customWidth="1"/>
    <col min="3" max="3" width="11.19921875" customWidth="1"/>
    <col min="5" max="5" width="24.46484375" customWidth="1"/>
    <col min="9" max="9" width="20.46484375" customWidth="1"/>
    <col min="10" max="10" width="11.53125" customWidth="1"/>
    <col min="12" max="12" width="29.46484375" customWidth="1"/>
    <col min="14" max="14" width="17.796875" customWidth="1"/>
  </cols>
  <sheetData>
    <row r="1" spans="1:24" ht="30" customHeight="1" x14ac:dyDescent="0.45">
      <c r="A1" s="2" t="s">
        <v>3</v>
      </c>
      <c r="B1" s="1">
        <v>15</v>
      </c>
      <c r="C1" t="s">
        <v>4</v>
      </c>
      <c r="E1" s="2" t="s">
        <v>8</v>
      </c>
      <c r="F1" s="11">
        <f>B1*COS(B3)</f>
        <v>10.606601717798213</v>
      </c>
      <c r="G1" t="s">
        <v>4</v>
      </c>
      <c r="I1" s="3" t="s">
        <v>19</v>
      </c>
      <c r="J1" s="11">
        <f>-0.5*F2^2/2*B5</f>
        <v>275.90624999999994</v>
      </c>
      <c r="K1" t="s">
        <v>11</v>
      </c>
      <c r="N1" s="4" t="s">
        <v>20</v>
      </c>
      <c r="O1" s="11">
        <f>J1+B4</f>
        <v>285.90624999999994</v>
      </c>
      <c r="P1" t="s">
        <v>11</v>
      </c>
    </row>
    <row r="2" spans="1:24" ht="30" customHeight="1" x14ac:dyDescent="0.45">
      <c r="A2" s="2" t="s">
        <v>2</v>
      </c>
      <c r="B2" s="1">
        <v>45</v>
      </c>
      <c r="C2" t="s">
        <v>5</v>
      </c>
      <c r="E2" s="2" t="s">
        <v>9</v>
      </c>
      <c r="F2" s="12">
        <f>B1*SIN(B3)</f>
        <v>10.606601717798211</v>
      </c>
      <c r="G2" t="s">
        <v>4</v>
      </c>
      <c r="I2" s="2" t="s">
        <v>12</v>
      </c>
      <c r="J2" s="11">
        <f>-(F2+SQRT(F2^2-2*B5*B4))/B5</f>
        <v>2.8722183766578793</v>
      </c>
      <c r="K2" t="s">
        <v>18</v>
      </c>
    </row>
    <row r="3" spans="1:24" ht="36.6" customHeight="1" x14ac:dyDescent="0.45">
      <c r="A3" s="3" t="s">
        <v>28</v>
      </c>
      <c r="B3" s="11">
        <f>RADIANS(B2)</f>
        <v>0.78539816339744828</v>
      </c>
      <c r="C3" t="s">
        <v>6</v>
      </c>
      <c r="E3" s="3" t="s">
        <v>10</v>
      </c>
      <c r="F3" s="12">
        <f>-B4</f>
        <v>-10</v>
      </c>
      <c r="G3" t="s">
        <v>11</v>
      </c>
      <c r="I3" s="2" t="s">
        <v>13</v>
      </c>
      <c r="J3" s="11">
        <f>-SQRT(F1^2+(F2^2+2*B5*F3))</f>
        <v>-20.523157651784484</v>
      </c>
      <c r="K3" t="s">
        <v>4</v>
      </c>
      <c r="N3" s="10" t="s">
        <v>29</v>
      </c>
    </row>
    <row r="4" spans="1:24" ht="30" customHeight="1" x14ac:dyDescent="0.45">
      <c r="A4" s="2" t="s">
        <v>1</v>
      </c>
      <c r="B4" s="1">
        <v>10</v>
      </c>
      <c r="C4" t="s">
        <v>4</v>
      </c>
      <c r="I4" s="2" t="s">
        <v>14</v>
      </c>
      <c r="J4" s="11">
        <f>F1*J2</f>
        <v>30.464476367751057</v>
      </c>
      <c r="K4" t="s">
        <v>11</v>
      </c>
    </row>
    <row r="5" spans="1:24" ht="30" customHeight="1" x14ac:dyDescent="0.45">
      <c r="A5" s="2" t="s">
        <v>0</v>
      </c>
      <c r="B5" s="1">
        <v>-9.81</v>
      </c>
      <c r="C5" t="s">
        <v>7</v>
      </c>
      <c r="I5" s="2" t="s">
        <v>15</v>
      </c>
      <c r="J5" s="11">
        <f>F1</f>
        <v>10.606601717798213</v>
      </c>
      <c r="K5" t="s">
        <v>4</v>
      </c>
    </row>
    <row r="6" spans="1:24" ht="30" customHeight="1" x14ac:dyDescent="0.45">
      <c r="I6" s="2" t="s">
        <v>16</v>
      </c>
      <c r="J6" s="11">
        <f>SQRT((J3^2-J5^2))</f>
        <v>17.569860557215588</v>
      </c>
      <c r="K6" t="s">
        <v>4</v>
      </c>
    </row>
    <row r="7" spans="1:24" ht="27.75" customHeight="1" x14ac:dyDescent="0.45">
      <c r="A7" s="13" t="s">
        <v>31</v>
      </c>
      <c r="B7" s="14" t="s">
        <v>32</v>
      </c>
      <c r="I7" s="2" t="s">
        <v>17</v>
      </c>
      <c r="J7" s="11">
        <f>ATAN(J5/J6)</f>
        <v>0.54312217045364286</v>
      </c>
      <c r="K7" t="s">
        <v>6</v>
      </c>
      <c r="L7" s="5" t="s">
        <v>21</v>
      </c>
    </row>
    <row r="8" spans="1:24" ht="41.45" customHeight="1" x14ac:dyDescent="0.45">
      <c r="E8" s="6" t="s">
        <v>26</v>
      </c>
      <c r="I8" s="2" t="s">
        <v>17</v>
      </c>
      <c r="J8" s="11">
        <f>DEGREES(J7)</f>
        <v>31.118608126978636</v>
      </c>
      <c r="K8" t="s">
        <v>5</v>
      </c>
    </row>
    <row r="9" spans="1:24" ht="22.25" customHeight="1" x14ac:dyDescent="0.45">
      <c r="B9" t="s">
        <v>25</v>
      </c>
    </row>
    <row r="10" spans="1:24" x14ac:dyDescent="0.45">
      <c r="A10" s="7" t="s">
        <v>22</v>
      </c>
      <c r="B10" s="7" t="s">
        <v>24</v>
      </c>
      <c r="C10" s="7" t="s">
        <v>23</v>
      </c>
      <c r="E10" s="16" t="s">
        <v>27</v>
      </c>
      <c r="F10" s="16"/>
      <c r="G10" s="16"/>
      <c r="H10" s="16"/>
      <c r="I10" s="16"/>
      <c r="V10" s="5"/>
      <c r="W10" s="5"/>
      <c r="X10" s="5"/>
    </row>
    <row r="11" spans="1:24" x14ac:dyDescent="0.45">
      <c r="A11" s="8">
        <v>0</v>
      </c>
      <c r="B11" s="9">
        <f>A11*$F$1</f>
        <v>0</v>
      </c>
      <c r="C11" s="9">
        <f>$F$2*A11+(0.5*$B$5*A11^2)+$B$4</f>
        <v>10</v>
      </c>
      <c r="E11" s="16"/>
      <c r="F11" s="16"/>
      <c r="G11" s="16"/>
      <c r="H11" s="16"/>
      <c r="I11" s="16"/>
      <c r="V11" s="5"/>
      <c r="W11" s="5"/>
      <c r="X11" s="5"/>
    </row>
    <row r="12" spans="1:24" x14ac:dyDescent="0.45">
      <c r="A12" s="8">
        <v>0.1</v>
      </c>
      <c r="B12" s="9">
        <f t="shared" ref="B12:B75" si="0">A12*$F$1</f>
        <v>1.0606601717798214</v>
      </c>
      <c r="C12" s="9">
        <f t="shared" ref="C12:C75" si="1">$F$2*A12+(0.5*$B$5*A12^2)+$B$4</f>
        <v>11.011610171779822</v>
      </c>
    </row>
    <row r="13" spans="1:24" ht="14.45" customHeight="1" x14ac:dyDescent="0.45">
      <c r="A13" s="8">
        <v>0.2</v>
      </c>
      <c r="B13" s="9">
        <f t="shared" si="0"/>
        <v>2.1213203435596428</v>
      </c>
      <c r="C13" s="9">
        <f t="shared" si="1"/>
        <v>11.925120343559643</v>
      </c>
    </row>
    <row r="14" spans="1:24" ht="14.45" customHeight="1" x14ac:dyDescent="0.45">
      <c r="A14" s="8">
        <v>0.3</v>
      </c>
      <c r="B14" s="9">
        <f t="shared" si="0"/>
        <v>3.1819805153394638</v>
      </c>
      <c r="C14" s="9">
        <f t="shared" si="1"/>
        <v>12.740530515339463</v>
      </c>
    </row>
    <row r="15" spans="1:24" x14ac:dyDescent="0.45">
      <c r="A15" s="8">
        <v>0.4</v>
      </c>
      <c r="B15" s="9">
        <f t="shared" si="0"/>
        <v>4.2426406871192857</v>
      </c>
      <c r="C15" s="9">
        <f t="shared" si="1"/>
        <v>13.457840687119285</v>
      </c>
    </row>
    <row r="16" spans="1:24" x14ac:dyDescent="0.45">
      <c r="A16" s="8">
        <v>0.5</v>
      </c>
      <c r="B16" s="9">
        <f t="shared" si="0"/>
        <v>5.3033008588991066</v>
      </c>
      <c r="C16" s="9">
        <f t="shared" si="1"/>
        <v>14.077050858899106</v>
      </c>
    </row>
    <row r="17" spans="1:13" x14ac:dyDescent="0.45">
      <c r="A17" s="8">
        <v>0.6</v>
      </c>
      <c r="B17" s="9">
        <f t="shared" si="0"/>
        <v>6.3639610306789276</v>
      </c>
      <c r="C17" s="9">
        <f t="shared" si="1"/>
        <v>14.598161030678927</v>
      </c>
      <c r="K17" s="15" t="s">
        <v>30</v>
      </c>
      <c r="L17" s="15"/>
      <c r="M17" s="15"/>
    </row>
    <row r="18" spans="1:13" x14ac:dyDescent="0.45">
      <c r="A18" s="8">
        <v>0.7</v>
      </c>
      <c r="B18" s="9">
        <f t="shared" si="0"/>
        <v>7.4246212024587486</v>
      </c>
      <c r="C18" s="9">
        <f t="shared" si="1"/>
        <v>15.021171202458747</v>
      </c>
      <c r="K18" s="15"/>
      <c r="L18" s="15"/>
      <c r="M18" s="15"/>
    </row>
    <row r="19" spans="1:13" x14ac:dyDescent="0.45">
      <c r="A19" s="8">
        <v>0.8</v>
      </c>
      <c r="B19" s="9">
        <f t="shared" si="0"/>
        <v>8.4852813742385713</v>
      </c>
      <c r="C19" s="9">
        <f t="shared" si="1"/>
        <v>15.346081374238569</v>
      </c>
      <c r="K19" s="15"/>
      <c r="L19" s="15"/>
      <c r="M19" s="15"/>
    </row>
    <row r="20" spans="1:13" x14ac:dyDescent="0.45">
      <c r="A20" s="8">
        <v>0.9</v>
      </c>
      <c r="B20" s="9">
        <f t="shared" si="0"/>
        <v>9.5459415460183923</v>
      </c>
      <c r="C20" s="9">
        <f t="shared" si="1"/>
        <v>15.57289154601839</v>
      </c>
      <c r="K20" s="15"/>
      <c r="L20" s="15"/>
      <c r="M20" s="15"/>
    </row>
    <row r="21" spans="1:13" x14ac:dyDescent="0.45">
      <c r="A21" s="8">
        <v>1</v>
      </c>
      <c r="B21" s="9">
        <f t="shared" si="0"/>
        <v>10.606601717798213</v>
      </c>
      <c r="C21" s="9">
        <f t="shared" si="1"/>
        <v>15.701601717798212</v>
      </c>
      <c r="K21" s="15"/>
      <c r="L21" s="15"/>
      <c r="M21" s="15"/>
    </row>
    <row r="22" spans="1:13" x14ac:dyDescent="0.45">
      <c r="A22" s="8">
        <v>1.1000000000000001</v>
      </c>
      <c r="B22" s="9">
        <f t="shared" si="0"/>
        <v>11.667261889578036</v>
      </c>
      <c r="C22" s="9">
        <f t="shared" si="1"/>
        <v>15.732211889578032</v>
      </c>
    </row>
    <row r="23" spans="1:13" x14ac:dyDescent="0.45">
      <c r="A23" s="8">
        <v>1.2</v>
      </c>
      <c r="B23" s="9">
        <f t="shared" si="0"/>
        <v>12.727922061357855</v>
      </c>
      <c r="C23" s="9">
        <f t="shared" si="1"/>
        <v>15.664722061357853</v>
      </c>
    </row>
    <row r="24" spans="1:13" x14ac:dyDescent="0.45">
      <c r="A24" s="8">
        <v>1.3</v>
      </c>
      <c r="B24" s="9">
        <f t="shared" si="0"/>
        <v>13.788582233137678</v>
      </c>
      <c r="C24" s="9">
        <f t="shared" si="1"/>
        <v>15.499132233137676</v>
      </c>
    </row>
    <row r="25" spans="1:13" x14ac:dyDescent="0.45">
      <c r="A25" s="8">
        <v>1.4</v>
      </c>
      <c r="B25" s="9">
        <f t="shared" si="0"/>
        <v>14.849242404917497</v>
      </c>
      <c r="C25" s="9">
        <f t="shared" si="1"/>
        <v>15.235442404917496</v>
      </c>
    </row>
    <row r="26" spans="1:13" x14ac:dyDescent="0.45">
      <c r="A26" s="8">
        <v>1.5</v>
      </c>
      <c r="B26" s="9">
        <f t="shared" si="0"/>
        <v>15.90990257669732</v>
      </c>
      <c r="C26" s="9">
        <f t="shared" si="1"/>
        <v>14.873652576697316</v>
      </c>
    </row>
    <row r="27" spans="1:13" x14ac:dyDescent="0.45">
      <c r="A27" s="8">
        <v>1.6</v>
      </c>
      <c r="B27" s="9">
        <f t="shared" si="0"/>
        <v>16.970562748477143</v>
      </c>
      <c r="C27" s="9">
        <f t="shared" si="1"/>
        <v>14.413762748477136</v>
      </c>
    </row>
    <row r="28" spans="1:13" x14ac:dyDescent="0.45">
      <c r="A28" s="8">
        <v>1.7</v>
      </c>
      <c r="B28" s="9">
        <f t="shared" si="0"/>
        <v>18.031222920256962</v>
      </c>
      <c r="C28" s="9">
        <f t="shared" si="1"/>
        <v>13.855772920256959</v>
      </c>
    </row>
    <row r="29" spans="1:13" x14ac:dyDescent="0.45">
      <c r="A29" s="8">
        <v>1.8</v>
      </c>
      <c r="B29" s="9">
        <f t="shared" si="0"/>
        <v>19.091883092036785</v>
      </c>
      <c r="C29" s="9">
        <f t="shared" si="1"/>
        <v>13.199683092036778</v>
      </c>
    </row>
    <row r="30" spans="1:13" x14ac:dyDescent="0.45">
      <c r="A30" s="8">
        <v>1.9</v>
      </c>
      <c r="B30" s="9">
        <f t="shared" si="0"/>
        <v>20.152543263816604</v>
      </c>
      <c r="C30" s="9">
        <f t="shared" si="1"/>
        <v>12.445493263816601</v>
      </c>
    </row>
    <row r="31" spans="1:13" x14ac:dyDescent="0.45">
      <c r="A31" s="8">
        <v>2</v>
      </c>
      <c r="B31" s="9">
        <f t="shared" si="0"/>
        <v>21.213203435596427</v>
      </c>
      <c r="C31" s="9">
        <f t="shared" si="1"/>
        <v>11.593203435596422</v>
      </c>
    </row>
    <row r="32" spans="1:13" x14ac:dyDescent="0.45">
      <c r="A32" s="8">
        <v>2.1</v>
      </c>
      <c r="B32" s="9">
        <f t="shared" si="0"/>
        <v>22.273863607376249</v>
      </c>
      <c r="C32" s="9">
        <f t="shared" si="1"/>
        <v>10.642813607376244</v>
      </c>
    </row>
    <row r="33" spans="1:3" x14ac:dyDescent="0.45">
      <c r="A33" s="8">
        <v>2.2000000000000002</v>
      </c>
      <c r="B33" s="9">
        <f t="shared" si="0"/>
        <v>23.334523779156072</v>
      </c>
      <c r="C33" s="9">
        <f t="shared" si="1"/>
        <v>9.5943237791560634</v>
      </c>
    </row>
    <row r="34" spans="1:3" x14ac:dyDescent="0.45">
      <c r="A34" s="8">
        <v>2.2999999999999998</v>
      </c>
      <c r="B34" s="9">
        <f t="shared" si="0"/>
        <v>24.395183950935888</v>
      </c>
      <c r="C34" s="9">
        <f t="shared" si="1"/>
        <v>8.4477339509358877</v>
      </c>
    </row>
    <row r="35" spans="1:3" x14ac:dyDescent="0.45">
      <c r="A35" s="8">
        <v>2.4</v>
      </c>
      <c r="B35" s="9">
        <f t="shared" si="0"/>
        <v>25.45584412271571</v>
      </c>
      <c r="C35" s="9">
        <f t="shared" si="1"/>
        <v>7.2030441227157063</v>
      </c>
    </row>
    <row r="36" spans="1:3" x14ac:dyDescent="0.45">
      <c r="A36" s="8">
        <v>2.5</v>
      </c>
      <c r="B36" s="9">
        <f t="shared" si="0"/>
        <v>26.516504294495533</v>
      </c>
      <c r="C36" s="9">
        <f t="shared" si="1"/>
        <v>5.8602542944955296</v>
      </c>
    </row>
    <row r="37" spans="1:3" x14ac:dyDescent="0.45">
      <c r="A37" s="8">
        <v>2.6</v>
      </c>
      <c r="B37" s="9">
        <f t="shared" si="0"/>
        <v>27.577164466275356</v>
      </c>
      <c r="C37" s="9">
        <f t="shared" si="1"/>
        <v>4.4193644662753506</v>
      </c>
    </row>
    <row r="38" spans="1:3" x14ac:dyDescent="0.45">
      <c r="A38" s="8">
        <v>2.7</v>
      </c>
      <c r="B38" s="9">
        <f t="shared" si="0"/>
        <v>28.637824638055179</v>
      </c>
      <c r="C38" s="9">
        <f t="shared" si="1"/>
        <v>2.8803746380551658</v>
      </c>
    </row>
    <row r="39" spans="1:3" x14ac:dyDescent="0.45">
      <c r="A39" s="8">
        <v>2.8</v>
      </c>
      <c r="B39" s="9">
        <f t="shared" si="0"/>
        <v>29.698484809834994</v>
      </c>
      <c r="C39" s="9">
        <f t="shared" si="1"/>
        <v>1.2432848098349929</v>
      </c>
    </row>
    <row r="40" spans="1:3" x14ac:dyDescent="0.45">
      <c r="A40" s="8">
        <v>2.9</v>
      </c>
      <c r="B40" s="9">
        <f t="shared" si="0"/>
        <v>30.759144981614817</v>
      </c>
      <c r="C40" s="9">
        <f t="shared" si="1"/>
        <v>-0.49190501838518585</v>
      </c>
    </row>
    <row r="41" spans="1:3" x14ac:dyDescent="0.45">
      <c r="A41" s="8">
        <v>3</v>
      </c>
      <c r="B41" s="9">
        <f t="shared" si="0"/>
        <v>31.81980515339464</v>
      </c>
      <c r="C41" s="9">
        <f t="shared" si="1"/>
        <v>-2.3251948466053705</v>
      </c>
    </row>
    <row r="42" spans="1:3" x14ac:dyDescent="0.45">
      <c r="A42" s="8">
        <v>3.1</v>
      </c>
      <c r="B42" s="9">
        <f t="shared" si="0"/>
        <v>32.880465325174463</v>
      </c>
      <c r="C42" s="9">
        <f t="shared" si="1"/>
        <v>-4.2565846748255538</v>
      </c>
    </row>
    <row r="43" spans="1:3" x14ac:dyDescent="0.45">
      <c r="A43" s="8">
        <v>3.2</v>
      </c>
      <c r="B43" s="9">
        <f t="shared" si="0"/>
        <v>33.941125496954285</v>
      </c>
      <c r="C43" s="9">
        <f t="shared" si="1"/>
        <v>-6.2860745030457323</v>
      </c>
    </row>
    <row r="44" spans="1:3" x14ac:dyDescent="0.45">
      <c r="A44" s="8">
        <v>3.3</v>
      </c>
      <c r="B44" s="9">
        <f t="shared" si="0"/>
        <v>35.001785668734101</v>
      </c>
      <c r="C44" s="9">
        <f t="shared" si="1"/>
        <v>-8.4136643312659061</v>
      </c>
    </row>
    <row r="45" spans="1:3" x14ac:dyDescent="0.45">
      <c r="A45" s="8">
        <v>3.4</v>
      </c>
      <c r="B45" s="9">
        <f t="shared" si="0"/>
        <v>36.062445840513924</v>
      </c>
      <c r="C45" s="9">
        <f t="shared" si="1"/>
        <v>-10.639354159486082</v>
      </c>
    </row>
    <row r="46" spans="1:3" x14ac:dyDescent="0.45">
      <c r="A46" s="8">
        <v>3.5</v>
      </c>
      <c r="B46" s="9">
        <f t="shared" si="0"/>
        <v>37.123106012293746</v>
      </c>
      <c r="C46" s="9">
        <f t="shared" si="1"/>
        <v>-12.96314398770626</v>
      </c>
    </row>
    <row r="47" spans="1:3" x14ac:dyDescent="0.45">
      <c r="A47" s="8">
        <v>3.6</v>
      </c>
      <c r="B47" s="9">
        <f t="shared" si="0"/>
        <v>38.183766184073569</v>
      </c>
      <c r="C47" s="9">
        <f t="shared" si="1"/>
        <v>-15.385033815926448</v>
      </c>
    </row>
    <row r="48" spans="1:3" x14ac:dyDescent="0.45">
      <c r="A48" s="8">
        <v>3.7</v>
      </c>
      <c r="B48" s="9">
        <f t="shared" si="0"/>
        <v>39.244426355853392</v>
      </c>
      <c r="C48" s="9">
        <f t="shared" si="1"/>
        <v>-17.905023644146631</v>
      </c>
    </row>
    <row r="49" spans="1:3" x14ac:dyDescent="0.45">
      <c r="A49" s="8">
        <v>3.8</v>
      </c>
      <c r="B49" s="9">
        <f t="shared" si="0"/>
        <v>40.305086527633208</v>
      </c>
      <c r="C49" s="9">
        <f t="shared" si="1"/>
        <v>-20.523113472366795</v>
      </c>
    </row>
    <row r="50" spans="1:3" x14ac:dyDescent="0.45">
      <c r="A50" s="8">
        <v>3.9</v>
      </c>
      <c r="B50" s="9">
        <f t="shared" si="0"/>
        <v>41.36574669941303</v>
      </c>
      <c r="C50" s="9">
        <f t="shared" si="1"/>
        <v>-23.239303300586982</v>
      </c>
    </row>
    <row r="51" spans="1:3" x14ac:dyDescent="0.45">
      <c r="A51" s="8">
        <v>4</v>
      </c>
      <c r="B51" s="9">
        <f t="shared" si="0"/>
        <v>42.426406871192853</v>
      </c>
      <c r="C51" s="9">
        <f t="shared" si="1"/>
        <v>-26.053593128807158</v>
      </c>
    </row>
    <row r="52" spans="1:3" x14ac:dyDescent="0.45">
      <c r="A52" s="8">
        <v>4.0999999999999996</v>
      </c>
      <c r="B52" s="9">
        <f t="shared" si="0"/>
        <v>43.487067042972669</v>
      </c>
      <c r="C52" s="9">
        <f t="shared" si="1"/>
        <v>-28.965982957027343</v>
      </c>
    </row>
    <row r="53" spans="1:3" x14ac:dyDescent="0.45">
      <c r="A53" s="8">
        <v>4.2</v>
      </c>
      <c r="B53" s="9">
        <f t="shared" si="0"/>
        <v>44.547727214752499</v>
      </c>
      <c r="C53" s="9">
        <f t="shared" si="1"/>
        <v>-31.976472785247516</v>
      </c>
    </row>
    <row r="54" spans="1:3" x14ac:dyDescent="0.45">
      <c r="A54" s="8">
        <v>4.3</v>
      </c>
      <c r="B54" s="9">
        <f t="shared" si="0"/>
        <v>45.608387386532314</v>
      </c>
      <c r="C54" s="9">
        <f t="shared" si="1"/>
        <v>-35.085062613467692</v>
      </c>
    </row>
    <row r="55" spans="1:3" x14ac:dyDescent="0.45">
      <c r="A55" s="8">
        <v>4.4000000000000004</v>
      </c>
      <c r="B55" s="9">
        <f t="shared" si="0"/>
        <v>46.669047558312144</v>
      </c>
      <c r="C55" s="9">
        <f t="shared" si="1"/>
        <v>-38.291752441687883</v>
      </c>
    </row>
    <row r="56" spans="1:3" x14ac:dyDescent="0.45">
      <c r="A56" s="8">
        <v>4.5</v>
      </c>
      <c r="B56" s="9">
        <f t="shared" si="0"/>
        <v>47.72970773009196</v>
      </c>
      <c r="C56" s="9">
        <f t="shared" si="1"/>
        <v>-41.596542269908049</v>
      </c>
    </row>
    <row r="57" spans="1:3" x14ac:dyDescent="0.45">
      <c r="A57" s="8">
        <v>4.5999999999999996</v>
      </c>
      <c r="B57" s="9">
        <f t="shared" si="0"/>
        <v>48.790367901871775</v>
      </c>
      <c r="C57" s="9">
        <f t="shared" si="1"/>
        <v>-44.999432098128217</v>
      </c>
    </row>
    <row r="58" spans="1:3" x14ac:dyDescent="0.45">
      <c r="A58" s="8">
        <v>4.7</v>
      </c>
      <c r="B58" s="9">
        <f t="shared" si="0"/>
        <v>49.851028073651605</v>
      </c>
      <c r="C58" s="9">
        <f t="shared" si="1"/>
        <v>-48.50042192634843</v>
      </c>
    </row>
    <row r="59" spans="1:3" x14ac:dyDescent="0.45">
      <c r="A59" s="8">
        <v>4.8</v>
      </c>
      <c r="B59" s="9">
        <f t="shared" si="0"/>
        <v>50.911688245431421</v>
      </c>
      <c r="C59" s="9">
        <f t="shared" si="1"/>
        <v>-52.099511754568589</v>
      </c>
    </row>
    <row r="60" spans="1:3" x14ac:dyDescent="0.45">
      <c r="A60" s="8">
        <v>4.9000000000000004</v>
      </c>
      <c r="B60" s="9">
        <f t="shared" si="0"/>
        <v>51.972348417211251</v>
      </c>
      <c r="C60" s="9">
        <f t="shared" si="1"/>
        <v>-55.796701582788785</v>
      </c>
    </row>
    <row r="61" spans="1:3" x14ac:dyDescent="0.45">
      <c r="A61" s="8">
        <v>5</v>
      </c>
      <c r="B61" s="9">
        <f t="shared" si="0"/>
        <v>53.033008588991066</v>
      </c>
      <c r="C61" s="9">
        <f t="shared" si="1"/>
        <v>-59.591991411008934</v>
      </c>
    </row>
    <row r="62" spans="1:3" x14ac:dyDescent="0.45">
      <c r="A62" s="8">
        <v>5.0999999999999996</v>
      </c>
      <c r="B62" s="9">
        <f t="shared" si="0"/>
        <v>54.093668760770882</v>
      </c>
      <c r="C62" s="9">
        <f t="shared" si="1"/>
        <v>-63.485381239229127</v>
      </c>
    </row>
    <row r="63" spans="1:3" x14ac:dyDescent="0.45">
      <c r="A63" s="8">
        <v>5.2</v>
      </c>
      <c r="B63" s="9">
        <f t="shared" si="0"/>
        <v>55.154328932550712</v>
      </c>
      <c r="C63" s="9">
        <f t="shared" si="1"/>
        <v>-67.476871067449309</v>
      </c>
    </row>
    <row r="64" spans="1:3" x14ac:dyDescent="0.45">
      <c r="A64" s="8">
        <v>5.3</v>
      </c>
      <c r="B64" s="9">
        <f t="shared" si="0"/>
        <v>56.214989104330527</v>
      </c>
      <c r="C64" s="9">
        <f t="shared" si="1"/>
        <v>-71.566460895669479</v>
      </c>
    </row>
    <row r="65" spans="1:3" x14ac:dyDescent="0.45">
      <c r="A65" s="8">
        <v>5.4</v>
      </c>
      <c r="B65" s="9">
        <f t="shared" si="0"/>
        <v>57.275649276110357</v>
      </c>
      <c r="C65" s="9">
        <f t="shared" si="1"/>
        <v>-75.75415072388968</v>
      </c>
    </row>
    <row r="66" spans="1:3" x14ac:dyDescent="0.45">
      <c r="A66" s="8">
        <v>5.5</v>
      </c>
      <c r="B66" s="9">
        <f t="shared" si="0"/>
        <v>58.336309447890173</v>
      </c>
      <c r="C66" s="9">
        <f t="shared" si="1"/>
        <v>-80.03994055210984</v>
      </c>
    </row>
    <row r="67" spans="1:3" x14ac:dyDescent="0.45">
      <c r="A67" s="8">
        <v>5.6</v>
      </c>
      <c r="B67" s="9">
        <f t="shared" si="0"/>
        <v>59.396969619669989</v>
      </c>
      <c r="C67" s="9">
        <f t="shared" si="1"/>
        <v>-84.423830380330003</v>
      </c>
    </row>
    <row r="68" spans="1:3" x14ac:dyDescent="0.45">
      <c r="A68" s="8">
        <v>5.7</v>
      </c>
      <c r="B68" s="9">
        <f t="shared" si="0"/>
        <v>60.457629791449818</v>
      </c>
      <c r="C68" s="9">
        <f t="shared" si="1"/>
        <v>-88.905820208550224</v>
      </c>
    </row>
    <row r="69" spans="1:3" x14ac:dyDescent="0.45">
      <c r="A69" s="8">
        <v>5.8</v>
      </c>
      <c r="B69" s="9">
        <f t="shared" si="0"/>
        <v>61.518289963229634</v>
      </c>
      <c r="C69" s="9">
        <f t="shared" si="1"/>
        <v>-93.485910036770377</v>
      </c>
    </row>
    <row r="70" spans="1:3" x14ac:dyDescent="0.45">
      <c r="A70" s="8">
        <v>5.9</v>
      </c>
      <c r="B70" s="9">
        <f t="shared" si="0"/>
        <v>62.578950135009464</v>
      </c>
      <c r="C70" s="9">
        <f t="shared" si="1"/>
        <v>-98.164099864990561</v>
      </c>
    </row>
    <row r="71" spans="1:3" x14ac:dyDescent="0.45">
      <c r="A71" s="8">
        <v>6</v>
      </c>
      <c r="B71" s="9">
        <f t="shared" si="0"/>
        <v>63.63961030678928</v>
      </c>
      <c r="C71" s="9">
        <f t="shared" si="1"/>
        <v>-102.94038969321075</v>
      </c>
    </row>
    <row r="72" spans="1:3" x14ac:dyDescent="0.45">
      <c r="A72" s="8">
        <v>6.1</v>
      </c>
      <c r="B72" s="9">
        <f t="shared" si="0"/>
        <v>64.700270478569095</v>
      </c>
      <c r="C72" s="9">
        <f t="shared" si="1"/>
        <v>-107.81477952143089</v>
      </c>
    </row>
    <row r="73" spans="1:3" x14ac:dyDescent="0.45">
      <c r="A73" s="8">
        <v>6.2</v>
      </c>
      <c r="B73" s="9">
        <f t="shared" si="0"/>
        <v>65.760930650348925</v>
      </c>
      <c r="C73" s="9">
        <f t="shared" si="1"/>
        <v>-112.78726934965113</v>
      </c>
    </row>
    <row r="74" spans="1:3" x14ac:dyDescent="0.45">
      <c r="A74" s="8">
        <v>6.3</v>
      </c>
      <c r="B74" s="9">
        <f t="shared" si="0"/>
        <v>66.821590822128741</v>
      </c>
      <c r="C74" s="9">
        <f t="shared" si="1"/>
        <v>-117.85785917787128</v>
      </c>
    </row>
    <row r="75" spans="1:3" x14ac:dyDescent="0.45">
      <c r="A75" s="8">
        <v>6.4</v>
      </c>
      <c r="B75" s="9">
        <f t="shared" si="0"/>
        <v>67.882250993908571</v>
      </c>
      <c r="C75" s="9">
        <f t="shared" si="1"/>
        <v>-123.0265490060915</v>
      </c>
    </row>
    <row r="76" spans="1:3" x14ac:dyDescent="0.45">
      <c r="A76" s="8">
        <v>6.5</v>
      </c>
      <c r="B76" s="9">
        <f t="shared" ref="B76:B139" si="2">A76*$F$1</f>
        <v>68.942911165688386</v>
      </c>
      <c r="C76" s="9">
        <f t="shared" ref="C76:C139" si="3">$F$2*A76+(0.5*$B$5*A76^2)+$B$4</f>
        <v>-128.29333883431164</v>
      </c>
    </row>
    <row r="77" spans="1:3" x14ac:dyDescent="0.45">
      <c r="A77" s="8">
        <v>6.6</v>
      </c>
      <c r="B77" s="9">
        <f t="shared" si="2"/>
        <v>70.003571337468202</v>
      </c>
      <c r="C77" s="9">
        <f t="shared" si="3"/>
        <v>-133.65822866253183</v>
      </c>
    </row>
    <row r="78" spans="1:3" x14ac:dyDescent="0.45">
      <c r="A78" s="8">
        <v>6.7</v>
      </c>
      <c r="B78" s="9">
        <f t="shared" si="2"/>
        <v>71.064231509248032</v>
      </c>
      <c r="C78" s="9">
        <f t="shared" si="3"/>
        <v>-139.12121849075197</v>
      </c>
    </row>
    <row r="79" spans="1:3" x14ac:dyDescent="0.45">
      <c r="A79" s="8">
        <v>6.8</v>
      </c>
      <c r="B79" s="9">
        <f t="shared" si="2"/>
        <v>72.124891681027847</v>
      </c>
      <c r="C79" s="9">
        <f t="shared" si="3"/>
        <v>-144.68230831897216</v>
      </c>
    </row>
    <row r="80" spans="1:3" x14ac:dyDescent="0.45">
      <c r="A80" s="8">
        <v>6.9</v>
      </c>
      <c r="B80" s="9">
        <f t="shared" si="2"/>
        <v>73.185551852807677</v>
      </c>
      <c r="C80" s="9">
        <f t="shared" si="3"/>
        <v>-150.34149814719237</v>
      </c>
    </row>
    <row r="81" spans="1:3" x14ac:dyDescent="0.45">
      <c r="A81" s="8">
        <v>7</v>
      </c>
      <c r="B81" s="9">
        <f t="shared" si="2"/>
        <v>74.246212024587493</v>
      </c>
      <c r="C81" s="9">
        <f t="shared" si="3"/>
        <v>-156.09878797541251</v>
      </c>
    </row>
    <row r="82" spans="1:3" x14ac:dyDescent="0.45">
      <c r="A82" s="8">
        <v>7.1</v>
      </c>
      <c r="B82" s="9">
        <f t="shared" si="2"/>
        <v>75.306872196367308</v>
      </c>
      <c r="C82" s="9">
        <f t="shared" si="3"/>
        <v>-161.95417780363269</v>
      </c>
    </row>
    <row r="83" spans="1:3" x14ac:dyDescent="0.45">
      <c r="A83" s="8">
        <v>7.2</v>
      </c>
      <c r="B83" s="9">
        <f t="shared" si="2"/>
        <v>76.367532368147138</v>
      </c>
      <c r="C83" s="9">
        <f t="shared" si="3"/>
        <v>-167.90766763185292</v>
      </c>
    </row>
    <row r="84" spans="1:3" x14ac:dyDescent="0.45">
      <c r="A84" s="8">
        <v>7.3</v>
      </c>
      <c r="B84" s="9">
        <f t="shared" si="2"/>
        <v>77.428192539926954</v>
      </c>
      <c r="C84" s="9">
        <f t="shared" si="3"/>
        <v>-173.95925746007305</v>
      </c>
    </row>
    <row r="85" spans="1:3" x14ac:dyDescent="0.45">
      <c r="A85" s="8">
        <v>7.4</v>
      </c>
      <c r="B85" s="9">
        <f t="shared" si="2"/>
        <v>78.488852711706784</v>
      </c>
      <c r="C85" s="9">
        <f t="shared" si="3"/>
        <v>-180.10894728829328</v>
      </c>
    </row>
    <row r="86" spans="1:3" x14ac:dyDescent="0.45">
      <c r="A86" s="8">
        <v>7.5</v>
      </c>
      <c r="B86" s="9">
        <f t="shared" si="2"/>
        <v>79.549512883486599</v>
      </c>
      <c r="C86" s="9">
        <f t="shared" si="3"/>
        <v>-186.35673711651341</v>
      </c>
    </row>
    <row r="87" spans="1:3" x14ac:dyDescent="0.45">
      <c r="A87" s="8">
        <v>7.6</v>
      </c>
      <c r="B87" s="9">
        <f t="shared" si="2"/>
        <v>80.610173055266415</v>
      </c>
      <c r="C87" s="9">
        <f t="shared" si="3"/>
        <v>-192.70262694473359</v>
      </c>
    </row>
    <row r="88" spans="1:3" x14ac:dyDescent="0.45">
      <c r="A88" s="8">
        <v>7.7</v>
      </c>
      <c r="B88" s="9">
        <f t="shared" si="2"/>
        <v>81.670833227046245</v>
      </c>
      <c r="C88" s="9">
        <f t="shared" si="3"/>
        <v>-199.14661677295385</v>
      </c>
    </row>
    <row r="89" spans="1:3" x14ac:dyDescent="0.45">
      <c r="A89" s="8">
        <v>7.8</v>
      </c>
      <c r="B89" s="9">
        <f t="shared" si="2"/>
        <v>82.731493398826061</v>
      </c>
      <c r="C89" s="9">
        <f t="shared" si="3"/>
        <v>-205.68870660117398</v>
      </c>
    </row>
    <row r="90" spans="1:3" x14ac:dyDescent="0.45">
      <c r="A90" s="8">
        <v>7.9</v>
      </c>
      <c r="B90" s="9">
        <f t="shared" si="2"/>
        <v>83.79215357060589</v>
      </c>
      <c r="C90" s="9">
        <f t="shared" si="3"/>
        <v>-212.32889642939415</v>
      </c>
    </row>
    <row r="91" spans="1:3" x14ac:dyDescent="0.45">
      <c r="A91" s="8">
        <v>8</v>
      </c>
      <c r="B91" s="9">
        <f t="shared" si="2"/>
        <v>84.852813742385706</v>
      </c>
      <c r="C91" s="9">
        <f t="shared" si="3"/>
        <v>-219.06718625761431</v>
      </c>
    </row>
    <row r="92" spans="1:3" x14ac:dyDescent="0.45">
      <c r="A92" s="8">
        <v>8.1</v>
      </c>
      <c r="B92" s="9">
        <f t="shared" si="2"/>
        <v>85.913473914165522</v>
      </c>
      <c r="C92" s="9">
        <f t="shared" si="3"/>
        <v>-225.90357608583449</v>
      </c>
    </row>
    <row r="93" spans="1:3" x14ac:dyDescent="0.45">
      <c r="A93" s="8">
        <v>8.1999999999999993</v>
      </c>
      <c r="B93" s="9">
        <f t="shared" si="2"/>
        <v>86.974134085945337</v>
      </c>
      <c r="C93" s="9">
        <f t="shared" si="3"/>
        <v>-232.83806591405471</v>
      </c>
    </row>
    <row r="94" spans="1:3" x14ac:dyDescent="0.45">
      <c r="A94" s="8">
        <v>8.3000000000000007</v>
      </c>
      <c r="B94" s="9">
        <f t="shared" si="2"/>
        <v>88.034794257725181</v>
      </c>
      <c r="C94" s="9">
        <f t="shared" si="3"/>
        <v>-239.87065574227492</v>
      </c>
    </row>
    <row r="95" spans="1:3" x14ac:dyDescent="0.45">
      <c r="A95" s="8">
        <v>8.4</v>
      </c>
      <c r="B95" s="9">
        <f t="shared" si="2"/>
        <v>89.095454429504997</v>
      </c>
      <c r="C95" s="9">
        <f t="shared" si="3"/>
        <v>-247.00134557049506</v>
      </c>
    </row>
    <row r="96" spans="1:3" x14ac:dyDescent="0.45">
      <c r="A96" s="8">
        <v>8.5</v>
      </c>
      <c r="B96" s="9">
        <f t="shared" si="2"/>
        <v>90.156114601284813</v>
      </c>
      <c r="C96" s="9">
        <f t="shared" si="3"/>
        <v>-254.23013539871522</v>
      </c>
    </row>
    <row r="97" spans="1:3" x14ac:dyDescent="0.45">
      <c r="A97" s="8">
        <v>8.6</v>
      </c>
      <c r="B97" s="9">
        <f t="shared" si="2"/>
        <v>91.216774773064628</v>
      </c>
      <c r="C97" s="9">
        <f t="shared" si="3"/>
        <v>-261.55702522693537</v>
      </c>
    </row>
    <row r="98" spans="1:3" x14ac:dyDescent="0.45">
      <c r="A98" s="8">
        <v>8.6999999999999993</v>
      </c>
      <c r="B98" s="9">
        <f t="shared" si="2"/>
        <v>92.277434944844444</v>
      </c>
      <c r="C98" s="9">
        <f t="shared" si="3"/>
        <v>-268.98201505515556</v>
      </c>
    </row>
    <row r="99" spans="1:3" x14ac:dyDescent="0.45">
      <c r="A99" s="8">
        <v>8.8000000000000007</v>
      </c>
      <c r="B99" s="9">
        <f t="shared" si="2"/>
        <v>93.338095116624288</v>
      </c>
      <c r="C99" s="9">
        <f t="shared" si="3"/>
        <v>-276.50510488337579</v>
      </c>
    </row>
    <row r="100" spans="1:3" x14ac:dyDescent="0.45">
      <c r="A100" s="8">
        <v>8.9</v>
      </c>
      <c r="B100" s="9">
        <f t="shared" si="2"/>
        <v>94.398755288404104</v>
      </c>
      <c r="C100" s="9">
        <f t="shared" si="3"/>
        <v>-284.12629471159596</v>
      </c>
    </row>
    <row r="101" spans="1:3" x14ac:dyDescent="0.45">
      <c r="A101" s="8">
        <v>9</v>
      </c>
      <c r="B101" s="9">
        <f t="shared" si="2"/>
        <v>95.459415460183919</v>
      </c>
      <c r="C101" s="9">
        <f t="shared" si="3"/>
        <v>-291.84558453981612</v>
      </c>
    </row>
    <row r="102" spans="1:3" x14ac:dyDescent="0.45">
      <c r="A102" s="8">
        <v>9.1</v>
      </c>
      <c r="B102" s="9">
        <f t="shared" si="2"/>
        <v>96.520075631963735</v>
      </c>
      <c r="C102" s="9">
        <f t="shared" si="3"/>
        <v>-299.66297436803626</v>
      </c>
    </row>
    <row r="103" spans="1:3" x14ac:dyDescent="0.45">
      <c r="A103" s="8">
        <v>9.1999999999999993</v>
      </c>
      <c r="B103" s="9">
        <f t="shared" si="2"/>
        <v>97.580735803743551</v>
      </c>
      <c r="C103" s="9">
        <f t="shared" si="3"/>
        <v>-307.57846419625639</v>
      </c>
    </row>
    <row r="104" spans="1:3" x14ac:dyDescent="0.45">
      <c r="A104" s="8">
        <v>9.3000000000000007</v>
      </c>
      <c r="B104" s="9">
        <f t="shared" si="2"/>
        <v>98.641395975523395</v>
      </c>
      <c r="C104" s="9">
        <f t="shared" si="3"/>
        <v>-315.59205402447668</v>
      </c>
    </row>
    <row r="105" spans="1:3" x14ac:dyDescent="0.45">
      <c r="A105" s="8">
        <v>9.4</v>
      </c>
      <c r="B105" s="9">
        <f t="shared" si="2"/>
        <v>99.70205614730321</v>
      </c>
      <c r="C105" s="9">
        <f t="shared" si="3"/>
        <v>-323.7037438526969</v>
      </c>
    </row>
    <row r="106" spans="1:3" x14ac:dyDescent="0.45">
      <c r="A106" s="8">
        <v>9.5</v>
      </c>
      <c r="B106" s="9">
        <f t="shared" si="2"/>
        <v>100.76271631908303</v>
      </c>
      <c r="C106" s="9">
        <f t="shared" si="3"/>
        <v>-331.913533680917</v>
      </c>
    </row>
    <row r="107" spans="1:3" x14ac:dyDescent="0.45">
      <c r="A107" s="8">
        <v>9.6</v>
      </c>
      <c r="B107" s="9">
        <f t="shared" si="2"/>
        <v>101.82337649086284</v>
      </c>
      <c r="C107" s="9">
        <f t="shared" si="3"/>
        <v>-340.2214235091372</v>
      </c>
    </row>
    <row r="108" spans="1:3" x14ac:dyDescent="0.45">
      <c r="A108" s="8">
        <v>9.6999999999999993</v>
      </c>
      <c r="B108" s="9">
        <f t="shared" si="2"/>
        <v>102.88403666264266</v>
      </c>
      <c r="C108" s="9">
        <f t="shared" si="3"/>
        <v>-348.62741333735732</v>
      </c>
    </row>
    <row r="109" spans="1:3" x14ac:dyDescent="0.45">
      <c r="A109" s="8">
        <v>9.8000000000000007</v>
      </c>
      <c r="B109" s="9">
        <f t="shared" si="2"/>
        <v>103.9446968344225</v>
      </c>
      <c r="C109" s="9">
        <f t="shared" si="3"/>
        <v>-357.13150316557767</v>
      </c>
    </row>
    <row r="110" spans="1:3" x14ac:dyDescent="0.45">
      <c r="A110" s="8">
        <v>9.9</v>
      </c>
      <c r="B110" s="9">
        <f t="shared" si="2"/>
        <v>105.00535700620232</v>
      </c>
      <c r="C110" s="9">
        <f t="shared" si="3"/>
        <v>-365.73369299379777</v>
      </c>
    </row>
    <row r="111" spans="1:3" x14ac:dyDescent="0.45">
      <c r="A111" s="8">
        <v>10</v>
      </c>
      <c r="B111" s="9">
        <f t="shared" si="2"/>
        <v>106.06601717798213</v>
      </c>
      <c r="C111" s="9">
        <f t="shared" si="3"/>
        <v>-374.43398282201787</v>
      </c>
    </row>
    <row r="112" spans="1:3" x14ac:dyDescent="0.45">
      <c r="A112" s="8">
        <v>10.1</v>
      </c>
      <c r="B112" s="9">
        <f t="shared" si="2"/>
        <v>107.12667734976195</v>
      </c>
      <c r="C112" s="9">
        <f t="shared" si="3"/>
        <v>-383.23237265023806</v>
      </c>
    </row>
    <row r="113" spans="1:3" x14ac:dyDescent="0.45">
      <c r="A113" s="8">
        <v>10.199999999999999</v>
      </c>
      <c r="B113" s="9">
        <f t="shared" si="2"/>
        <v>108.18733752154176</v>
      </c>
      <c r="C113" s="9">
        <f t="shared" si="3"/>
        <v>-392.12886247845825</v>
      </c>
    </row>
    <row r="114" spans="1:3" x14ac:dyDescent="0.45">
      <c r="A114" s="8">
        <v>10.3</v>
      </c>
      <c r="B114" s="9">
        <f t="shared" si="2"/>
        <v>109.24799769332161</v>
      </c>
      <c r="C114" s="9">
        <f t="shared" si="3"/>
        <v>-401.12345230667853</v>
      </c>
    </row>
    <row r="115" spans="1:3" x14ac:dyDescent="0.45">
      <c r="A115" s="8">
        <v>10.4</v>
      </c>
      <c r="B115" s="9">
        <f t="shared" si="2"/>
        <v>110.30865786510142</v>
      </c>
      <c r="C115" s="9">
        <f t="shared" si="3"/>
        <v>-410.21614213489863</v>
      </c>
    </row>
    <row r="116" spans="1:3" x14ac:dyDescent="0.45">
      <c r="A116" s="8">
        <v>10.5</v>
      </c>
      <c r="B116" s="9">
        <f t="shared" si="2"/>
        <v>111.36931803688124</v>
      </c>
      <c r="C116" s="9">
        <f t="shared" si="3"/>
        <v>-419.40693196311878</v>
      </c>
    </row>
    <row r="117" spans="1:3" x14ac:dyDescent="0.45">
      <c r="A117" s="8">
        <v>10.6</v>
      </c>
      <c r="B117" s="9">
        <f t="shared" si="2"/>
        <v>112.42997820866105</v>
      </c>
      <c r="C117" s="9">
        <f t="shared" si="3"/>
        <v>-428.69582179133897</v>
      </c>
    </row>
    <row r="118" spans="1:3" x14ac:dyDescent="0.45">
      <c r="A118" s="8">
        <v>10.7</v>
      </c>
      <c r="B118" s="9">
        <f t="shared" si="2"/>
        <v>113.49063838044087</v>
      </c>
      <c r="C118" s="9">
        <f t="shared" si="3"/>
        <v>-438.08281161955915</v>
      </c>
    </row>
    <row r="119" spans="1:3" x14ac:dyDescent="0.45">
      <c r="A119" s="8">
        <v>10.8</v>
      </c>
      <c r="B119" s="9">
        <f t="shared" si="2"/>
        <v>114.55129855222071</v>
      </c>
      <c r="C119" s="9">
        <f t="shared" si="3"/>
        <v>-447.56790144777938</v>
      </c>
    </row>
    <row r="120" spans="1:3" x14ac:dyDescent="0.45">
      <c r="A120" s="8">
        <v>10.9</v>
      </c>
      <c r="B120" s="9">
        <f t="shared" si="2"/>
        <v>115.61195872400053</v>
      </c>
      <c r="C120" s="9">
        <f t="shared" si="3"/>
        <v>-457.15109127599953</v>
      </c>
    </row>
    <row r="121" spans="1:3" x14ac:dyDescent="0.45">
      <c r="A121" s="8">
        <v>11</v>
      </c>
      <c r="B121" s="9">
        <f t="shared" si="2"/>
        <v>116.67261889578035</v>
      </c>
      <c r="C121" s="9">
        <f t="shared" si="3"/>
        <v>-466.83238110421968</v>
      </c>
    </row>
    <row r="122" spans="1:3" x14ac:dyDescent="0.45">
      <c r="A122" s="8">
        <v>11.1</v>
      </c>
      <c r="B122" s="9">
        <f t="shared" si="2"/>
        <v>117.73327906756016</v>
      </c>
      <c r="C122" s="9">
        <f t="shared" si="3"/>
        <v>-476.61177093243987</v>
      </c>
    </row>
    <row r="123" spans="1:3" x14ac:dyDescent="0.45">
      <c r="A123" s="8">
        <v>11.2</v>
      </c>
      <c r="B123" s="9">
        <f t="shared" si="2"/>
        <v>118.79393923933998</v>
      </c>
      <c r="C123" s="9">
        <f t="shared" si="3"/>
        <v>-486.48926076065999</v>
      </c>
    </row>
    <row r="124" spans="1:3" x14ac:dyDescent="0.45">
      <c r="A124" s="8">
        <v>11.3</v>
      </c>
      <c r="B124" s="9">
        <f t="shared" si="2"/>
        <v>119.85459941111982</v>
      </c>
      <c r="C124" s="9">
        <f t="shared" si="3"/>
        <v>-496.46485058888027</v>
      </c>
    </row>
    <row r="125" spans="1:3" x14ac:dyDescent="0.45">
      <c r="A125" s="8">
        <v>11.4</v>
      </c>
      <c r="B125" s="9">
        <f t="shared" si="2"/>
        <v>120.91525958289964</v>
      </c>
      <c r="C125" s="9">
        <f t="shared" si="3"/>
        <v>-506.53854041710053</v>
      </c>
    </row>
    <row r="126" spans="1:3" x14ac:dyDescent="0.45">
      <c r="A126" s="8">
        <v>11.5</v>
      </c>
      <c r="B126" s="9">
        <f t="shared" si="2"/>
        <v>121.97591975467945</v>
      </c>
      <c r="C126" s="9">
        <f t="shared" si="3"/>
        <v>-516.71033024532062</v>
      </c>
    </row>
    <row r="127" spans="1:3" x14ac:dyDescent="0.45">
      <c r="A127" s="8">
        <v>11.6</v>
      </c>
      <c r="B127" s="9">
        <f t="shared" si="2"/>
        <v>123.03657992645927</v>
      </c>
      <c r="C127" s="9">
        <f t="shared" si="3"/>
        <v>-526.98022007354075</v>
      </c>
    </row>
    <row r="128" spans="1:3" x14ac:dyDescent="0.45">
      <c r="A128" s="8">
        <v>11.7</v>
      </c>
      <c r="B128" s="9">
        <f t="shared" si="2"/>
        <v>124.09724009823908</v>
      </c>
      <c r="C128" s="9">
        <f t="shared" si="3"/>
        <v>-537.34820990176081</v>
      </c>
    </row>
    <row r="129" spans="1:3" x14ac:dyDescent="0.45">
      <c r="A129" s="8">
        <v>11.8</v>
      </c>
      <c r="B129" s="9">
        <f t="shared" si="2"/>
        <v>125.15790027001893</v>
      </c>
      <c r="C129" s="9">
        <f t="shared" si="3"/>
        <v>-547.81429972998114</v>
      </c>
    </row>
    <row r="130" spans="1:3" x14ac:dyDescent="0.45">
      <c r="A130" s="8">
        <v>11.9</v>
      </c>
      <c r="B130" s="9">
        <f t="shared" si="2"/>
        <v>126.21856044179874</v>
      </c>
      <c r="C130" s="9">
        <f t="shared" si="3"/>
        <v>-558.37848955820141</v>
      </c>
    </row>
    <row r="131" spans="1:3" x14ac:dyDescent="0.45">
      <c r="A131" s="8">
        <v>12</v>
      </c>
      <c r="B131" s="9">
        <f t="shared" si="2"/>
        <v>127.27922061357856</v>
      </c>
      <c r="C131" s="9">
        <f t="shared" si="3"/>
        <v>-569.04077938642149</v>
      </c>
    </row>
    <row r="132" spans="1:3" x14ac:dyDescent="0.45">
      <c r="A132" s="8">
        <v>12.1</v>
      </c>
      <c r="B132" s="9">
        <f t="shared" si="2"/>
        <v>128.33988078535839</v>
      </c>
      <c r="C132" s="9">
        <f t="shared" si="3"/>
        <v>-579.80116921464173</v>
      </c>
    </row>
    <row r="133" spans="1:3" x14ac:dyDescent="0.45">
      <c r="A133" s="8">
        <v>12.2</v>
      </c>
      <c r="B133" s="9">
        <f t="shared" si="2"/>
        <v>129.40054095713819</v>
      </c>
      <c r="C133" s="9">
        <f t="shared" si="3"/>
        <v>-590.65965904286168</v>
      </c>
    </row>
    <row r="134" spans="1:3" x14ac:dyDescent="0.45">
      <c r="A134" s="8">
        <v>12.3</v>
      </c>
      <c r="B134" s="9">
        <f t="shared" si="2"/>
        <v>130.46120112891802</v>
      </c>
      <c r="C134" s="9">
        <f t="shared" si="3"/>
        <v>-601.61624887108212</v>
      </c>
    </row>
    <row r="135" spans="1:3" x14ac:dyDescent="0.45">
      <c r="A135" s="8">
        <v>12.4</v>
      </c>
      <c r="B135" s="9">
        <f t="shared" si="2"/>
        <v>131.52186130069785</v>
      </c>
      <c r="C135" s="9">
        <f t="shared" si="3"/>
        <v>-612.67093869930227</v>
      </c>
    </row>
    <row r="136" spans="1:3" x14ac:dyDescent="0.45">
      <c r="A136" s="8">
        <v>12.5</v>
      </c>
      <c r="B136" s="9">
        <f t="shared" si="2"/>
        <v>132.58252147247765</v>
      </c>
      <c r="C136" s="9">
        <f t="shared" si="3"/>
        <v>-623.82372852752235</v>
      </c>
    </row>
    <row r="137" spans="1:3" x14ac:dyDescent="0.45">
      <c r="A137" s="8">
        <v>12.6</v>
      </c>
      <c r="B137" s="9">
        <f t="shared" si="2"/>
        <v>133.64318164425748</v>
      </c>
      <c r="C137" s="9">
        <f t="shared" si="3"/>
        <v>-635.07461835574259</v>
      </c>
    </row>
    <row r="138" spans="1:3" x14ac:dyDescent="0.45">
      <c r="A138" s="8">
        <v>12.7</v>
      </c>
      <c r="B138" s="9">
        <f t="shared" si="2"/>
        <v>134.70384181603731</v>
      </c>
      <c r="C138" s="9">
        <f t="shared" si="3"/>
        <v>-646.42360818396264</v>
      </c>
    </row>
    <row r="139" spans="1:3" x14ac:dyDescent="0.45">
      <c r="A139" s="8">
        <v>12.8</v>
      </c>
      <c r="B139" s="9">
        <f t="shared" si="2"/>
        <v>135.76450198781714</v>
      </c>
      <c r="C139" s="9">
        <f t="shared" si="3"/>
        <v>-657.87069801218308</v>
      </c>
    </row>
    <row r="140" spans="1:3" x14ac:dyDescent="0.45">
      <c r="A140" s="8">
        <v>12.9</v>
      </c>
      <c r="B140" s="9">
        <f t="shared" ref="B140:B203" si="4">A140*$F$1</f>
        <v>136.82516215959694</v>
      </c>
      <c r="C140" s="9">
        <f t="shared" ref="C140:C203" si="5">$F$2*A140+(0.5*$B$5*A140^2)+$B$4</f>
        <v>-669.415887840403</v>
      </c>
    </row>
    <row r="141" spans="1:3" x14ac:dyDescent="0.45">
      <c r="A141" s="8">
        <v>13</v>
      </c>
      <c r="B141" s="9">
        <f t="shared" si="4"/>
        <v>137.88582233137677</v>
      </c>
      <c r="C141" s="9">
        <f t="shared" si="5"/>
        <v>-681.05917766862331</v>
      </c>
    </row>
    <row r="142" spans="1:3" x14ac:dyDescent="0.45">
      <c r="A142" s="8">
        <v>13.1</v>
      </c>
      <c r="B142" s="9">
        <f t="shared" si="4"/>
        <v>138.9464825031566</v>
      </c>
      <c r="C142" s="9">
        <f t="shared" si="5"/>
        <v>-692.80056749684331</v>
      </c>
    </row>
    <row r="143" spans="1:3" x14ac:dyDescent="0.45">
      <c r="A143" s="8">
        <v>13.2</v>
      </c>
      <c r="B143" s="9">
        <f t="shared" si="4"/>
        <v>140.0071426749364</v>
      </c>
      <c r="C143" s="9">
        <f t="shared" si="5"/>
        <v>-704.64005732506359</v>
      </c>
    </row>
    <row r="144" spans="1:3" x14ac:dyDescent="0.45">
      <c r="A144" s="8">
        <v>13.3</v>
      </c>
      <c r="B144" s="9">
        <f t="shared" si="4"/>
        <v>141.06780284671623</v>
      </c>
      <c r="C144" s="9">
        <f t="shared" si="5"/>
        <v>-716.57764715328381</v>
      </c>
    </row>
    <row r="145" spans="1:3" x14ac:dyDescent="0.45">
      <c r="A145" s="8">
        <v>13.4</v>
      </c>
      <c r="B145" s="9">
        <f t="shared" si="4"/>
        <v>142.12846301849606</v>
      </c>
      <c r="C145" s="9">
        <f t="shared" si="5"/>
        <v>-728.61333698150395</v>
      </c>
    </row>
    <row r="146" spans="1:3" x14ac:dyDescent="0.45">
      <c r="A146" s="8">
        <v>13.5</v>
      </c>
      <c r="B146" s="9">
        <f t="shared" si="4"/>
        <v>143.18912319027589</v>
      </c>
      <c r="C146" s="9">
        <f t="shared" si="5"/>
        <v>-740.74712680972425</v>
      </c>
    </row>
    <row r="147" spans="1:3" x14ac:dyDescent="0.45">
      <c r="A147" s="8">
        <v>13.6</v>
      </c>
      <c r="B147" s="9">
        <f t="shared" si="4"/>
        <v>144.24978336205569</v>
      </c>
      <c r="C147" s="9">
        <f t="shared" si="5"/>
        <v>-752.97901663794437</v>
      </c>
    </row>
    <row r="148" spans="1:3" x14ac:dyDescent="0.45">
      <c r="A148" s="8">
        <v>13.7</v>
      </c>
      <c r="B148" s="9">
        <f t="shared" si="4"/>
        <v>145.31044353383552</v>
      </c>
      <c r="C148" s="9">
        <f t="shared" si="5"/>
        <v>-765.30900646616442</v>
      </c>
    </row>
    <row r="149" spans="1:3" x14ac:dyDescent="0.45">
      <c r="A149" s="8">
        <v>13.8</v>
      </c>
      <c r="B149" s="9">
        <f t="shared" si="4"/>
        <v>146.37110370561535</v>
      </c>
      <c r="C149" s="9">
        <f t="shared" si="5"/>
        <v>-777.73709629438486</v>
      </c>
    </row>
    <row r="150" spans="1:3" x14ac:dyDescent="0.45">
      <c r="A150" s="8">
        <v>13.9</v>
      </c>
      <c r="B150" s="9">
        <f t="shared" si="4"/>
        <v>147.43176387739516</v>
      </c>
      <c r="C150" s="9">
        <f t="shared" si="5"/>
        <v>-790.26328612260488</v>
      </c>
    </row>
    <row r="151" spans="1:3" x14ac:dyDescent="0.45">
      <c r="A151" s="8">
        <v>14</v>
      </c>
      <c r="B151" s="9">
        <f t="shared" si="4"/>
        <v>148.49242404917499</v>
      </c>
      <c r="C151" s="9">
        <f t="shared" si="5"/>
        <v>-802.88757595082507</v>
      </c>
    </row>
    <row r="152" spans="1:3" x14ac:dyDescent="0.45">
      <c r="A152" s="8">
        <v>14.1</v>
      </c>
      <c r="B152" s="9">
        <f t="shared" si="4"/>
        <v>149.55308422095482</v>
      </c>
      <c r="C152" s="9">
        <f t="shared" si="5"/>
        <v>-815.6099657790453</v>
      </c>
    </row>
    <row r="153" spans="1:3" x14ac:dyDescent="0.45">
      <c r="A153" s="8">
        <v>14.2</v>
      </c>
      <c r="B153" s="9">
        <f t="shared" si="4"/>
        <v>150.61374439273462</v>
      </c>
      <c r="C153" s="9">
        <f t="shared" si="5"/>
        <v>-828.43045560726534</v>
      </c>
    </row>
    <row r="154" spans="1:3" x14ac:dyDescent="0.45">
      <c r="A154" s="8">
        <v>14.3</v>
      </c>
      <c r="B154" s="9">
        <f t="shared" si="4"/>
        <v>151.67440456451445</v>
      </c>
      <c r="C154" s="9">
        <f t="shared" si="5"/>
        <v>-841.34904543548578</v>
      </c>
    </row>
    <row r="155" spans="1:3" x14ac:dyDescent="0.45">
      <c r="A155" s="8">
        <v>14.4</v>
      </c>
      <c r="B155" s="9">
        <f t="shared" si="4"/>
        <v>152.73506473629428</v>
      </c>
      <c r="C155" s="9">
        <f t="shared" si="5"/>
        <v>-854.36573526370591</v>
      </c>
    </row>
    <row r="156" spans="1:3" x14ac:dyDescent="0.45">
      <c r="A156" s="8">
        <v>14.5</v>
      </c>
      <c r="B156" s="9">
        <f t="shared" si="4"/>
        <v>153.79572490807408</v>
      </c>
      <c r="C156" s="9">
        <f t="shared" si="5"/>
        <v>-867.48052509192598</v>
      </c>
    </row>
    <row r="157" spans="1:3" x14ac:dyDescent="0.45">
      <c r="A157" s="8">
        <v>14.6</v>
      </c>
      <c r="B157" s="9">
        <f t="shared" si="4"/>
        <v>154.85638507985391</v>
      </c>
      <c r="C157" s="9">
        <f t="shared" si="5"/>
        <v>-880.6934149201461</v>
      </c>
    </row>
    <row r="158" spans="1:3" x14ac:dyDescent="0.45">
      <c r="A158" s="8">
        <v>14.7</v>
      </c>
      <c r="B158" s="9">
        <f t="shared" si="4"/>
        <v>155.91704525163374</v>
      </c>
      <c r="C158" s="9">
        <f t="shared" si="5"/>
        <v>-894.00440474836614</v>
      </c>
    </row>
    <row r="159" spans="1:3" x14ac:dyDescent="0.45">
      <c r="A159" s="8">
        <v>14.8</v>
      </c>
      <c r="B159" s="9">
        <f t="shared" si="4"/>
        <v>156.97770542341357</v>
      </c>
      <c r="C159" s="9">
        <f t="shared" si="5"/>
        <v>-907.41349457658669</v>
      </c>
    </row>
    <row r="160" spans="1:3" x14ac:dyDescent="0.45">
      <c r="A160" s="8">
        <v>14.9</v>
      </c>
      <c r="B160" s="9">
        <f t="shared" si="4"/>
        <v>158.03836559519337</v>
      </c>
      <c r="C160" s="9">
        <f t="shared" si="5"/>
        <v>-920.92068440480682</v>
      </c>
    </row>
    <row r="161" spans="1:3" x14ac:dyDescent="0.45">
      <c r="A161" s="8">
        <v>15</v>
      </c>
      <c r="B161" s="9">
        <f t="shared" si="4"/>
        <v>159.0990257669732</v>
      </c>
      <c r="C161" s="9">
        <f t="shared" si="5"/>
        <v>-934.52597423302677</v>
      </c>
    </row>
    <row r="162" spans="1:3" x14ac:dyDescent="0.45">
      <c r="A162" s="8">
        <v>15.1</v>
      </c>
      <c r="B162" s="9">
        <f t="shared" si="4"/>
        <v>160.15968593875303</v>
      </c>
      <c r="C162" s="9">
        <f t="shared" si="5"/>
        <v>-948.229364061247</v>
      </c>
    </row>
    <row r="163" spans="1:3" x14ac:dyDescent="0.45">
      <c r="A163" s="8">
        <v>15.2</v>
      </c>
      <c r="B163" s="9">
        <f t="shared" si="4"/>
        <v>161.22034611053283</v>
      </c>
      <c r="C163" s="9">
        <f t="shared" si="5"/>
        <v>-962.03085388946715</v>
      </c>
    </row>
    <row r="164" spans="1:3" x14ac:dyDescent="0.45">
      <c r="A164" s="8">
        <v>15.3</v>
      </c>
      <c r="B164" s="9">
        <f t="shared" si="4"/>
        <v>162.28100628231266</v>
      </c>
      <c r="C164" s="9">
        <f t="shared" si="5"/>
        <v>-975.93044371768758</v>
      </c>
    </row>
    <row r="165" spans="1:3" x14ac:dyDescent="0.45">
      <c r="A165" s="8">
        <v>15.4</v>
      </c>
      <c r="B165" s="9">
        <f t="shared" si="4"/>
        <v>163.34166645409249</v>
      </c>
      <c r="C165" s="9">
        <f t="shared" si="5"/>
        <v>-989.92813354590783</v>
      </c>
    </row>
    <row r="166" spans="1:3" x14ac:dyDescent="0.45">
      <c r="A166" s="8">
        <v>15.5</v>
      </c>
      <c r="B166" s="9">
        <f t="shared" si="4"/>
        <v>164.40232662587232</v>
      </c>
      <c r="C166" s="9">
        <f t="shared" si="5"/>
        <v>-1004.0239233741277</v>
      </c>
    </row>
    <row r="167" spans="1:3" x14ac:dyDescent="0.45">
      <c r="A167" s="8">
        <v>15.6</v>
      </c>
      <c r="B167" s="9">
        <f t="shared" si="4"/>
        <v>165.46298679765212</v>
      </c>
      <c r="C167" s="9">
        <f t="shared" si="5"/>
        <v>-1018.217813202348</v>
      </c>
    </row>
    <row r="168" spans="1:3" x14ac:dyDescent="0.45">
      <c r="A168" s="8">
        <v>15.7</v>
      </c>
      <c r="B168" s="9">
        <f t="shared" si="4"/>
        <v>166.52364696943195</v>
      </c>
      <c r="C168" s="9">
        <f t="shared" si="5"/>
        <v>-1032.509803030568</v>
      </c>
    </row>
    <row r="169" spans="1:3" x14ac:dyDescent="0.45">
      <c r="A169" s="8">
        <v>15.8</v>
      </c>
      <c r="B169" s="9">
        <f t="shared" si="4"/>
        <v>167.58430714121178</v>
      </c>
      <c r="C169" s="9">
        <f t="shared" si="5"/>
        <v>-1046.8998928587885</v>
      </c>
    </row>
    <row r="170" spans="1:3" x14ac:dyDescent="0.45">
      <c r="A170" s="8">
        <v>15.9</v>
      </c>
      <c r="B170" s="9">
        <f t="shared" si="4"/>
        <v>168.64496731299158</v>
      </c>
      <c r="C170" s="9">
        <f t="shared" si="5"/>
        <v>-1061.3880826870084</v>
      </c>
    </row>
    <row r="171" spans="1:3" x14ac:dyDescent="0.45">
      <c r="A171" s="8">
        <v>16</v>
      </c>
      <c r="B171" s="9">
        <f t="shared" si="4"/>
        <v>169.70562748477141</v>
      </c>
      <c r="C171" s="9">
        <f t="shared" si="5"/>
        <v>-1075.9743725152287</v>
      </c>
    </row>
    <row r="172" spans="1:3" x14ac:dyDescent="0.45">
      <c r="A172" s="8">
        <v>16.100000000000001</v>
      </c>
      <c r="B172" s="9">
        <f t="shared" si="4"/>
        <v>170.76628765655124</v>
      </c>
      <c r="C172" s="9">
        <f t="shared" si="5"/>
        <v>-1090.6587623434491</v>
      </c>
    </row>
    <row r="173" spans="1:3" x14ac:dyDescent="0.45">
      <c r="A173" s="8">
        <v>16.2</v>
      </c>
      <c r="B173" s="9">
        <f t="shared" si="4"/>
        <v>171.82694782833104</v>
      </c>
      <c r="C173" s="9">
        <f t="shared" si="5"/>
        <v>-1105.441252171669</v>
      </c>
    </row>
    <row r="174" spans="1:3" x14ac:dyDescent="0.45">
      <c r="A174" s="8">
        <v>16.3</v>
      </c>
      <c r="B174" s="9">
        <f t="shared" si="4"/>
        <v>172.88760800011087</v>
      </c>
      <c r="C174" s="9">
        <f t="shared" si="5"/>
        <v>-1120.3218419998893</v>
      </c>
    </row>
    <row r="175" spans="1:3" x14ac:dyDescent="0.45">
      <c r="A175" s="8">
        <v>16.399999999999999</v>
      </c>
      <c r="B175" s="9">
        <f t="shared" si="4"/>
        <v>173.94826817189067</v>
      </c>
      <c r="C175" s="9">
        <f t="shared" si="5"/>
        <v>-1135.3005318281093</v>
      </c>
    </row>
    <row r="176" spans="1:3" x14ac:dyDescent="0.45">
      <c r="A176" s="8">
        <v>16.5</v>
      </c>
      <c r="B176" s="9">
        <f t="shared" si="4"/>
        <v>175.0089283436705</v>
      </c>
      <c r="C176" s="9">
        <f t="shared" si="5"/>
        <v>-1150.3773216563295</v>
      </c>
    </row>
    <row r="177" spans="1:3" x14ac:dyDescent="0.45">
      <c r="A177" s="8">
        <v>16.600000000000001</v>
      </c>
      <c r="B177" s="9">
        <f t="shared" si="4"/>
        <v>176.06958851545036</v>
      </c>
      <c r="C177" s="9">
        <f t="shared" si="5"/>
        <v>-1165.5522114845501</v>
      </c>
    </row>
    <row r="178" spans="1:3" x14ac:dyDescent="0.45">
      <c r="A178" s="8">
        <v>16.7</v>
      </c>
      <c r="B178" s="9">
        <f t="shared" si="4"/>
        <v>177.13024868723016</v>
      </c>
      <c r="C178" s="9">
        <f t="shared" si="5"/>
        <v>-1180.8252013127699</v>
      </c>
    </row>
    <row r="179" spans="1:3" x14ac:dyDescent="0.45">
      <c r="A179" s="8">
        <v>16.8</v>
      </c>
      <c r="B179" s="9">
        <f t="shared" si="4"/>
        <v>178.19090885900999</v>
      </c>
      <c r="C179" s="9">
        <f t="shared" si="5"/>
        <v>-1196.1962911409901</v>
      </c>
    </row>
    <row r="180" spans="1:3" x14ac:dyDescent="0.45">
      <c r="A180" s="8">
        <v>16.899999999999999</v>
      </c>
      <c r="B180" s="9">
        <f t="shared" si="4"/>
        <v>179.2515690307898</v>
      </c>
      <c r="C180" s="9">
        <f t="shared" si="5"/>
        <v>-1211.66548096921</v>
      </c>
    </row>
    <row r="181" spans="1:3" x14ac:dyDescent="0.45">
      <c r="A181" s="8">
        <v>17</v>
      </c>
      <c r="B181" s="9">
        <f t="shared" si="4"/>
        <v>180.31222920256963</v>
      </c>
      <c r="C181" s="9">
        <f t="shared" si="5"/>
        <v>-1227.2327707974305</v>
      </c>
    </row>
    <row r="182" spans="1:3" x14ac:dyDescent="0.45">
      <c r="A182" s="8">
        <v>17.100000000000001</v>
      </c>
      <c r="B182" s="9">
        <f t="shared" si="4"/>
        <v>181.37288937434946</v>
      </c>
      <c r="C182" s="9">
        <f t="shared" si="5"/>
        <v>-1242.8981606256509</v>
      </c>
    </row>
    <row r="183" spans="1:3" x14ac:dyDescent="0.45">
      <c r="A183" s="8">
        <v>17.2</v>
      </c>
      <c r="B183" s="9">
        <f t="shared" si="4"/>
        <v>182.43354954612926</v>
      </c>
      <c r="C183" s="9">
        <f t="shared" si="5"/>
        <v>-1258.6616504538708</v>
      </c>
    </row>
    <row r="184" spans="1:3" x14ac:dyDescent="0.45">
      <c r="A184" s="8">
        <v>17.3</v>
      </c>
      <c r="B184" s="9">
        <f t="shared" si="4"/>
        <v>183.49420971790909</v>
      </c>
      <c r="C184" s="9">
        <f t="shared" si="5"/>
        <v>-1274.5232402820911</v>
      </c>
    </row>
    <row r="185" spans="1:3" x14ac:dyDescent="0.45">
      <c r="A185" s="8">
        <v>17.399999999999999</v>
      </c>
      <c r="B185" s="9">
        <f t="shared" si="4"/>
        <v>184.55486988968889</v>
      </c>
      <c r="C185" s="9">
        <f t="shared" si="5"/>
        <v>-1290.4829301103109</v>
      </c>
    </row>
    <row r="186" spans="1:3" x14ac:dyDescent="0.45">
      <c r="A186" s="8">
        <v>17.5</v>
      </c>
      <c r="B186" s="9">
        <f t="shared" si="4"/>
        <v>185.61553006146875</v>
      </c>
      <c r="C186" s="9">
        <f t="shared" si="5"/>
        <v>-1306.5407199385313</v>
      </c>
    </row>
    <row r="187" spans="1:3" x14ac:dyDescent="0.45">
      <c r="A187" s="8">
        <v>17.600000000000001</v>
      </c>
      <c r="B187" s="9">
        <f t="shared" si="4"/>
        <v>186.67619023324858</v>
      </c>
      <c r="C187" s="9">
        <f t="shared" si="5"/>
        <v>-1322.6966097667519</v>
      </c>
    </row>
    <row r="188" spans="1:3" x14ac:dyDescent="0.45">
      <c r="A188" s="8">
        <v>17.7</v>
      </c>
      <c r="B188" s="9">
        <f t="shared" si="4"/>
        <v>187.73685040502838</v>
      </c>
      <c r="C188" s="9">
        <f t="shared" si="5"/>
        <v>-1338.9505995949717</v>
      </c>
    </row>
    <row r="189" spans="1:3" x14ac:dyDescent="0.45">
      <c r="A189" s="8">
        <v>17.8</v>
      </c>
      <c r="B189" s="9">
        <f t="shared" si="4"/>
        <v>188.79751057680821</v>
      </c>
      <c r="C189" s="9">
        <f t="shared" si="5"/>
        <v>-1355.3026894231921</v>
      </c>
    </row>
    <row r="190" spans="1:3" x14ac:dyDescent="0.45">
      <c r="A190" s="8">
        <v>17.899999999999999</v>
      </c>
      <c r="B190" s="9">
        <f t="shared" si="4"/>
        <v>189.85817074858801</v>
      </c>
      <c r="C190" s="9">
        <f t="shared" si="5"/>
        <v>-1371.752879251412</v>
      </c>
    </row>
    <row r="191" spans="1:3" x14ac:dyDescent="0.45">
      <c r="A191" s="8">
        <v>18</v>
      </c>
      <c r="B191" s="9">
        <f t="shared" si="4"/>
        <v>190.91883092036784</v>
      </c>
      <c r="C191" s="9">
        <f t="shared" si="5"/>
        <v>-1388.3011690796322</v>
      </c>
    </row>
    <row r="192" spans="1:3" x14ac:dyDescent="0.45">
      <c r="A192" s="8">
        <v>18.100000000000001</v>
      </c>
      <c r="B192" s="9">
        <f t="shared" si="4"/>
        <v>191.97949109214767</v>
      </c>
      <c r="C192" s="9">
        <f t="shared" si="5"/>
        <v>-1404.9475589078529</v>
      </c>
    </row>
    <row r="193" spans="1:3" x14ac:dyDescent="0.45">
      <c r="A193" s="8">
        <v>18.2</v>
      </c>
      <c r="B193" s="9">
        <f t="shared" si="4"/>
        <v>193.04015126392747</v>
      </c>
      <c r="C193" s="9">
        <f t="shared" si="5"/>
        <v>-1421.6920487360726</v>
      </c>
    </row>
    <row r="194" spans="1:3" x14ac:dyDescent="0.45">
      <c r="A194" s="8">
        <v>18.3</v>
      </c>
      <c r="B194" s="9">
        <f t="shared" si="4"/>
        <v>194.1008114357073</v>
      </c>
      <c r="C194" s="9">
        <f t="shared" si="5"/>
        <v>-1438.5346385642929</v>
      </c>
    </row>
    <row r="195" spans="1:3" x14ac:dyDescent="0.45">
      <c r="A195" s="8">
        <v>18.399999999999999</v>
      </c>
      <c r="B195" s="9">
        <f t="shared" si="4"/>
        <v>195.1614716074871</v>
      </c>
      <c r="C195" s="9">
        <f t="shared" si="5"/>
        <v>-1455.4753283925127</v>
      </c>
    </row>
    <row r="196" spans="1:3" x14ac:dyDescent="0.45">
      <c r="A196" s="8">
        <v>18.5</v>
      </c>
      <c r="B196" s="9">
        <f t="shared" si="4"/>
        <v>196.22213177926693</v>
      </c>
      <c r="C196" s="9">
        <f t="shared" si="5"/>
        <v>-1472.5141182207333</v>
      </c>
    </row>
    <row r="197" spans="1:3" x14ac:dyDescent="0.45">
      <c r="A197" s="8">
        <v>18.600000000000001</v>
      </c>
      <c r="B197" s="9">
        <f t="shared" si="4"/>
        <v>197.28279195104679</v>
      </c>
      <c r="C197" s="9">
        <f t="shared" si="5"/>
        <v>-1489.6510080489534</v>
      </c>
    </row>
    <row r="198" spans="1:3" x14ac:dyDescent="0.45">
      <c r="A198" s="8">
        <v>18.7</v>
      </c>
      <c r="B198" s="9">
        <f t="shared" si="4"/>
        <v>198.34345212282659</v>
      </c>
      <c r="C198" s="9">
        <f t="shared" si="5"/>
        <v>-1506.8859978771734</v>
      </c>
    </row>
    <row r="199" spans="1:3" x14ac:dyDescent="0.45">
      <c r="A199" s="8">
        <v>18.8</v>
      </c>
      <c r="B199" s="9">
        <f t="shared" si="4"/>
        <v>199.40411229460642</v>
      </c>
      <c r="C199" s="9">
        <f t="shared" si="5"/>
        <v>-1524.219087705394</v>
      </c>
    </row>
    <row r="200" spans="1:3" x14ac:dyDescent="0.45">
      <c r="A200" s="8">
        <v>18.899999999999999</v>
      </c>
      <c r="B200" s="9">
        <f t="shared" si="4"/>
        <v>200.46477246638622</v>
      </c>
      <c r="C200" s="9">
        <f t="shared" si="5"/>
        <v>-1541.6502775336135</v>
      </c>
    </row>
    <row r="201" spans="1:3" x14ac:dyDescent="0.45">
      <c r="A201" s="8">
        <v>19</v>
      </c>
      <c r="B201" s="9">
        <f t="shared" si="4"/>
        <v>201.52543263816605</v>
      </c>
      <c r="C201" s="9">
        <f t="shared" si="5"/>
        <v>-1559.1795673618342</v>
      </c>
    </row>
    <row r="202" spans="1:3" x14ac:dyDescent="0.45">
      <c r="A202" s="8">
        <v>19.100000000000001</v>
      </c>
      <c r="B202" s="9">
        <f t="shared" si="4"/>
        <v>202.58609280994588</v>
      </c>
      <c r="C202" s="9">
        <f t="shared" si="5"/>
        <v>-1576.8069571900546</v>
      </c>
    </row>
    <row r="203" spans="1:3" x14ac:dyDescent="0.45">
      <c r="A203" s="8">
        <v>19.2</v>
      </c>
      <c r="B203" s="9">
        <f t="shared" si="4"/>
        <v>203.64675298172568</v>
      </c>
      <c r="C203" s="9">
        <f t="shared" si="5"/>
        <v>-1594.5324470182743</v>
      </c>
    </row>
    <row r="204" spans="1:3" x14ac:dyDescent="0.45">
      <c r="A204" s="8">
        <v>19.3</v>
      </c>
      <c r="B204" s="9">
        <f t="shared" ref="B204:B267" si="6">A204*$F$1</f>
        <v>204.70741315350551</v>
      </c>
      <c r="C204" s="9">
        <f t="shared" ref="C204:C267" si="7">$F$2*A204+(0.5*$B$5*A204^2)+$B$4</f>
        <v>-1612.3560368464946</v>
      </c>
    </row>
    <row r="205" spans="1:3" x14ac:dyDescent="0.45">
      <c r="A205" s="8">
        <v>19.399999999999999</v>
      </c>
      <c r="B205" s="9">
        <f t="shared" si="6"/>
        <v>205.76807332528531</v>
      </c>
      <c r="C205" s="9">
        <f t="shared" si="7"/>
        <v>-1630.2777266747146</v>
      </c>
    </row>
    <row r="206" spans="1:3" x14ac:dyDescent="0.45">
      <c r="A206" s="8">
        <v>19.5</v>
      </c>
      <c r="B206" s="9">
        <f t="shared" si="6"/>
        <v>206.82873349706517</v>
      </c>
      <c r="C206" s="9">
        <f t="shared" si="7"/>
        <v>-1648.297516502935</v>
      </c>
    </row>
    <row r="207" spans="1:3" x14ac:dyDescent="0.45">
      <c r="A207" s="8">
        <v>19.600000000000001</v>
      </c>
      <c r="B207" s="9">
        <f t="shared" si="6"/>
        <v>207.889393668845</v>
      </c>
      <c r="C207" s="9">
        <f t="shared" si="7"/>
        <v>-1666.4154063311555</v>
      </c>
    </row>
    <row r="208" spans="1:3" x14ac:dyDescent="0.45">
      <c r="A208" s="8">
        <v>19.7</v>
      </c>
      <c r="B208" s="9">
        <f t="shared" si="6"/>
        <v>208.9500538406248</v>
      </c>
      <c r="C208" s="9">
        <f t="shared" si="7"/>
        <v>-1684.6313961593751</v>
      </c>
    </row>
    <row r="209" spans="1:3" x14ac:dyDescent="0.45">
      <c r="A209" s="8">
        <v>19.8</v>
      </c>
      <c r="B209" s="9">
        <f t="shared" si="6"/>
        <v>210.01071401240463</v>
      </c>
      <c r="C209" s="9">
        <f t="shared" si="7"/>
        <v>-1702.9454859875957</v>
      </c>
    </row>
    <row r="210" spans="1:3" x14ac:dyDescent="0.45">
      <c r="A210" s="8">
        <v>19.899999999999999</v>
      </c>
      <c r="B210" s="9">
        <f t="shared" si="6"/>
        <v>211.07137418418444</v>
      </c>
      <c r="C210" s="9">
        <f t="shared" si="7"/>
        <v>-1721.3576758158154</v>
      </c>
    </row>
    <row r="211" spans="1:3" x14ac:dyDescent="0.45">
      <c r="A211" s="8">
        <v>20</v>
      </c>
      <c r="B211" s="9">
        <f t="shared" si="6"/>
        <v>212.13203435596427</v>
      </c>
      <c r="C211" s="9">
        <f t="shared" si="7"/>
        <v>-1739.8679656440358</v>
      </c>
    </row>
    <row r="212" spans="1:3" x14ac:dyDescent="0.45">
      <c r="A212" s="8">
        <v>20.100000000000001</v>
      </c>
      <c r="B212" s="9">
        <f t="shared" si="6"/>
        <v>213.1926945277441</v>
      </c>
      <c r="C212" s="9">
        <f t="shared" si="7"/>
        <v>-1758.4763554722563</v>
      </c>
    </row>
    <row r="213" spans="1:3" x14ac:dyDescent="0.45">
      <c r="A213" s="8">
        <v>20.2</v>
      </c>
      <c r="B213" s="9">
        <f t="shared" si="6"/>
        <v>214.2533546995239</v>
      </c>
      <c r="C213" s="9">
        <f t="shared" si="7"/>
        <v>-1777.1828453004759</v>
      </c>
    </row>
    <row r="214" spans="1:3" x14ac:dyDescent="0.45">
      <c r="A214" s="8">
        <v>20.3</v>
      </c>
      <c r="B214" s="9">
        <f t="shared" si="6"/>
        <v>215.31401487130373</v>
      </c>
      <c r="C214" s="9">
        <f t="shared" si="7"/>
        <v>-1795.9874351286965</v>
      </c>
    </row>
    <row r="215" spans="1:3" x14ac:dyDescent="0.45">
      <c r="A215" s="8">
        <v>20.399999999999999</v>
      </c>
      <c r="B215" s="9">
        <f t="shared" si="6"/>
        <v>216.37467504308353</v>
      </c>
      <c r="C215" s="9">
        <f t="shared" si="7"/>
        <v>-1814.8901249569165</v>
      </c>
    </row>
    <row r="216" spans="1:3" x14ac:dyDescent="0.45">
      <c r="A216" s="8">
        <v>20.5</v>
      </c>
      <c r="B216" s="9">
        <f t="shared" si="6"/>
        <v>217.43533521486336</v>
      </c>
      <c r="C216" s="9">
        <f t="shared" si="7"/>
        <v>-1833.8909147851368</v>
      </c>
    </row>
    <row r="217" spans="1:3" x14ac:dyDescent="0.45">
      <c r="A217" s="8">
        <v>20.6</v>
      </c>
      <c r="B217" s="9">
        <f t="shared" si="6"/>
        <v>218.49599538664322</v>
      </c>
      <c r="C217" s="9">
        <f t="shared" si="7"/>
        <v>-1852.9898046133571</v>
      </c>
    </row>
    <row r="218" spans="1:3" x14ac:dyDescent="0.45">
      <c r="A218" s="8">
        <v>20.7</v>
      </c>
      <c r="B218" s="9">
        <f t="shared" si="6"/>
        <v>219.55665555842302</v>
      </c>
      <c r="C218" s="9">
        <f t="shared" si="7"/>
        <v>-1872.1867944415769</v>
      </c>
    </row>
    <row r="219" spans="1:3" x14ac:dyDescent="0.45">
      <c r="A219" s="8">
        <v>20.8</v>
      </c>
      <c r="B219" s="9">
        <f t="shared" si="6"/>
        <v>220.61731573020285</v>
      </c>
      <c r="C219" s="9">
        <f t="shared" si="7"/>
        <v>-1891.4818842697973</v>
      </c>
    </row>
    <row r="220" spans="1:3" x14ac:dyDescent="0.45">
      <c r="A220" s="8">
        <v>20.9</v>
      </c>
      <c r="B220" s="9">
        <f t="shared" si="6"/>
        <v>221.67797590198265</v>
      </c>
      <c r="C220" s="9">
        <f t="shared" si="7"/>
        <v>-1910.8750740980174</v>
      </c>
    </row>
    <row r="221" spans="1:3" x14ac:dyDescent="0.45">
      <c r="A221" s="8">
        <v>21</v>
      </c>
      <c r="B221" s="9">
        <f t="shared" si="6"/>
        <v>222.73863607376248</v>
      </c>
      <c r="C221" s="9">
        <f t="shared" si="7"/>
        <v>-1930.3663639262377</v>
      </c>
    </row>
    <row r="222" spans="1:3" x14ac:dyDescent="0.45">
      <c r="A222" s="8">
        <v>21.1</v>
      </c>
      <c r="B222" s="9">
        <f t="shared" si="6"/>
        <v>223.79929624554231</v>
      </c>
      <c r="C222" s="9">
        <f t="shared" si="7"/>
        <v>-1949.9557537544579</v>
      </c>
    </row>
    <row r="223" spans="1:3" x14ac:dyDescent="0.45">
      <c r="A223" s="8">
        <v>21.2</v>
      </c>
      <c r="B223" s="9">
        <f t="shared" si="6"/>
        <v>224.85995641732211</v>
      </c>
      <c r="C223" s="9">
        <f t="shared" si="7"/>
        <v>-1969.643243582678</v>
      </c>
    </row>
    <row r="224" spans="1:3" x14ac:dyDescent="0.45">
      <c r="A224" s="8">
        <v>21.3</v>
      </c>
      <c r="B224" s="9">
        <f t="shared" si="6"/>
        <v>225.92061658910194</v>
      </c>
      <c r="C224" s="9">
        <f t="shared" si="7"/>
        <v>-1989.4288334108983</v>
      </c>
    </row>
    <row r="225" spans="1:3" x14ac:dyDescent="0.45">
      <c r="A225" s="8">
        <v>21.4</v>
      </c>
      <c r="B225" s="9">
        <f t="shared" si="6"/>
        <v>226.98127676088174</v>
      </c>
      <c r="C225" s="9">
        <f t="shared" si="7"/>
        <v>-2009.3125232391183</v>
      </c>
    </row>
    <row r="226" spans="1:3" x14ac:dyDescent="0.45">
      <c r="A226" s="8">
        <v>21.5</v>
      </c>
      <c r="B226" s="9">
        <f t="shared" si="6"/>
        <v>228.0419369326616</v>
      </c>
      <c r="C226" s="9">
        <f t="shared" si="7"/>
        <v>-2029.2943130673389</v>
      </c>
    </row>
    <row r="227" spans="1:3" x14ac:dyDescent="0.45">
      <c r="A227" s="8">
        <v>21.6</v>
      </c>
      <c r="B227" s="9">
        <f t="shared" si="6"/>
        <v>229.10259710444143</v>
      </c>
      <c r="C227" s="9">
        <f t="shared" si="7"/>
        <v>-2049.3742028955589</v>
      </c>
    </row>
    <row r="228" spans="1:3" x14ac:dyDescent="0.45">
      <c r="A228" s="8">
        <v>21.7</v>
      </c>
      <c r="B228" s="9">
        <f t="shared" si="6"/>
        <v>230.16325727622123</v>
      </c>
      <c r="C228" s="9">
        <f t="shared" si="7"/>
        <v>-2069.5521927237792</v>
      </c>
    </row>
    <row r="229" spans="1:3" x14ac:dyDescent="0.45">
      <c r="A229" s="8">
        <v>21.8</v>
      </c>
      <c r="B229" s="9">
        <f t="shared" si="6"/>
        <v>231.22391744800106</v>
      </c>
      <c r="C229" s="9">
        <f t="shared" si="7"/>
        <v>-2089.8282825519991</v>
      </c>
    </row>
    <row r="230" spans="1:3" x14ac:dyDescent="0.45">
      <c r="A230" s="8">
        <v>21.9</v>
      </c>
      <c r="B230" s="9">
        <f t="shared" si="6"/>
        <v>232.28457761978086</v>
      </c>
      <c r="C230" s="9">
        <f t="shared" si="7"/>
        <v>-2110.2024723802188</v>
      </c>
    </row>
    <row r="231" spans="1:3" x14ac:dyDescent="0.45">
      <c r="A231" s="8">
        <v>22</v>
      </c>
      <c r="B231" s="9">
        <f t="shared" si="6"/>
        <v>233.34523779156069</v>
      </c>
      <c r="C231" s="9">
        <f t="shared" si="7"/>
        <v>-2130.6747622084395</v>
      </c>
    </row>
    <row r="232" spans="1:3" x14ac:dyDescent="0.45">
      <c r="A232" s="8">
        <v>22.1</v>
      </c>
      <c r="B232" s="9">
        <f t="shared" si="6"/>
        <v>234.40589796334052</v>
      </c>
      <c r="C232" s="9">
        <f t="shared" si="7"/>
        <v>-2151.2451520366599</v>
      </c>
    </row>
    <row r="233" spans="1:3" x14ac:dyDescent="0.45">
      <c r="A233" s="8">
        <v>22.2</v>
      </c>
      <c r="B233" s="9">
        <f t="shared" si="6"/>
        <v>235.46655813512032</v>
      </c>
      <c r="C233" s="9">
        <f t="shared" si="7"/>
        <v>-2171.9136418648795</v>
      </c>
    </row>
    <row r="234" spans="1:3" x14ac:dyDescent="0.45">
      <c r="A234" s="8">
        <v>22.3</v>
      </c>
      <c r="B234" s="9">
        <f t="shared" si="6"/>
        <v>236.52721830690015</v>
      </c>
      <c r="C234" s="9">
        <f t="shared" si="7"/>
        <v>-2192.6802316931003</v>
      </c>
    </row>
    <row r="235" spans="1:3" x14ac:dyDescent="0.45">
      <c r="A235" s="8">
        <v>22.4</v>
      </c>
      <c r="B235" s="9">
        <f t="shared" si="6"/>
        <v>237.58787847867995</v>
      </c>
      <c r="C235" s="9">
        <f t="shared" si="7"/>
        <v>-2213.5449215213198</v>
      </c>
    </row>
    <row r="236" spans="1:3" x14ac:dyDescent="0.45">
      <c r="A236" s="8">
        <v>22.5</v>
      </c>
      <c r="B236" s="9">
        <f t="shared" si="6"/>
        <v>238.64853865045978</v>
      </c>
      <c r="C236" s="9">
        <f t="shared" si="7"/>
        <v>-2234.5077113495404</v>
      </c>
    </row>
    <row r="237" spans="1:3" x14ac:dyDescent="0.45">
      <c r="A237" s="8">
        <v>22.6</v>
      </c>
      <c r="B237" s="9">
        <f t="shared" si="6"/>
        <v>239.70919882223964</v>
      </c>
      <c r="C237" s="9">
        <f t="shared" si="7"/>
        <v>-2255.5686011777607</v>
      </c>
    </row>
    <row r="238" spans="1:3" x14ac:dyDescent="0.45">
      <c r="A238" s="8">
        <v>22.7</v>
      </c>
      <c r="B238" s="9">
        <f t="shared" si="6"/>
        <v>240.76985899401944</v>
      </c>
      <c r="C238" s="9">
        <f t="shared" si="7"/>
        <v>-2276.7275910059807</v>
      </c>
    </row>
    <row r="239" spans="1:3" x14ac:dyDescent="0.45">
      <c r="A239" s="8">
        <v>22.8</v>
      </c>
      <c r="B239" s="9">
        <f t="shared" si="6"/>
        <v>241.83051916579927</v>
      </c>
      <c r="C239" s="9">
        <f t="shared" si="7"/>
        <v>-2297.9846808342013</v>
      </c>
    </row>
    <row r="240" spans="1:3" x14ac:dyDescent="0.45">
      <c r="A240" s="8">
        <v>22.9</v>
      </c>
      <c r="B240" s="9">
        <f t="shared" si="6"/>
        <v>242.89117933757908</v>
      </c>
      <c r="C240" s="9">
        <f t="shared" si="7"/>
        <v>-2319.3398706624207</v>
      </c>
    </row>
    <row r="241" spans="1:3" x14ac:dyDescent="0.45">
      <c r="A241" s="8">
        <v>23</v>
      </c>
      <c r="B241" s="9">
        <f t="shared" si="6"/>
        <v>243.9518395093589</v>
      </c>
      <c r="C241" s="9">
        <f t="shared" si="7"/>
        <v>-2340.7931604906416</v>
      </c>
    </row>
    <row r="242" spans="1:3" x14ac:dyDescent="0.45">
      <c r="A242" s="8">
        <v>23.1</v>
      </c>
      <c r="B242" s="9">
        <f t="shared" si="6"/>
        <v>245.01249968113873</v>
      </c>
      <c r="C242" s="9">
        <f t="shared" si="7"/>
        <v>-2362.3445503188614</v>
      </c>
    </row>
    <row r="243" spans="1:3" x14ac:dyDescent="0.45">
      <c r="A243" s="8">
        <v>23.2</v>
      </c>
      <c r="B243" s="9">
        <f t="shared" si="6"/>
        <v>246.07315985291854</v>
      </c>
      <c r="C243" s="9">
        <f t="shared" si="7"/>
        <v>-2383.9940401470813</v>
      </c>
    </row>
    <row r="244" spans="1:3" x14ac:dyDescent="0.45">
      <c r="A244" s="8">
        <v>23.3</v>
      </c>
      <c r="B244" s="9">
        <f t="shared" si="6"/>
        <v>247.13382002469837</v>
      </c>
      <c r="C244" s="9">
        <f t="shared" si="7"/>
        <v>-2405.7416299753017</v>
      </c>
    </row>
    <row r="245" spans="1:3" x14ac:dyDescent="0.45">
      <c r="A245" s="8">
        <v>23.4</v>
      </c>
      <c r="B245" s="9">
        <f t="shared" si="6"/>
        <v>248.19448019647817</v>
      </c>
      <c r="C245" s="9">
        <f t="shared" si="7"/>
        <v>-2427.5873198035215</v>
      </c>
    </row>
    <row r="246" spans="1:3" x14ac:dyDescent="0.45">
      <c r="A246" s="8">
        <v>23.5</v>
      </c>
      <c r="B246" s="9">
        <f t="shared" si="6"/>
        <v>249.25514036825803</v>
      </c>
      <c r="C246" s="9">
        <f t="shared" si="7"/>
        <v>-2449.5311096317423</v>
      </c>
    </row>
    <row r="247" spans="1:3" x14ac:dyDescent="0.45">
      <c r="A247" s="8">
        <v>23.6</v>
      </c>
      <c r="B247" s="9">
        <f t="shared" si="6"/>
        <v>250.31580054003786</v>
      </c>
      <c r="C247" s="9">
        <f t="shared" si="7"/>
        <v>-2471.5729994599624</v>
      </c>
    </row>
    <row r="248" spans="1:3" x14ac:dyDescent="0.45">
      <c r="A248" s="8">
        <v>23.7</v>
      </c>
      <c r="B248" s="9">
        <f t="shared" si="6"/>
        <v>251.37646071181766</v>
      </c>
      <c r="C248" s="9">
        <f t="shared" si="7"/>
        <v>-2493.7129892881821</v>
      </c>
    </row>
    <row r="249" spans="1:3" x14ac:dyDescent="0.45">
      <c r="A249" s="8">
        <v>23.8</v>
      </c>
      <c r="B249" s="9">
        <f t="shared" si="6"/>
        <v>252.43712088359749</v>
      </c>
      <c r="C249" s="9">
        <f t="shared" si="7"/>
        <v>-2515.951079116403</v>
      </c>
    </row>
    <row r="250" spans="1:3" x14ac:dyDescent="0.45">
      <c r="A250" s="8">
        <v>23.9</v>
      </c>
      <c r="B250" s="9">
        <f t="shared" si="6"/>
        <v>253.49778105537729</v>
      </c>
      <c r="C250" s="9">
        <f t="shared" si="7"/>
        <v>-2538.2872689446226</v>
      </c>
    </row>
    <row r="251" spans="1:3" x14ac:dyDescent="0.45">
      <c r="A251" s="8">
        <v>24</v>
      </c>
      <c r="B251" s="9">
        <f t="shared" si="6"/>
        <v>254.55844122715712</v>
      </c>
      <c r="C251" s="9">
        <f t="shared" si="7"/>
        <v>-2560.7215587728433</v>
      </c>
    </row>
    <row r="252" spans="1:3" x14ac:dyDescent="0.45">
      <c r="A252" s="8">
        <v>24.1</v>
      </c>
      <c r="B252" s="9">
        <f t="shared" si="6"/>
        <v>255.61910139893695</v>
      </c>
      <c r="C252" s="9">
        <f t="shared" si="7"/>
        <v>-2583.2539486010637</v>
      </c>
    </row>
    <row r="253" spans="1:3" x14ac:dyDescent="0.45">
      <c r="A253" s="8">
        <v>24.2</v>
      </c>
      <c r="B253" s="9">
        <f t="shared" si="6"/>
        <v>256.67976157071678</v>
      </c>
      <c r="C253" s="9">
        <f t="shared" si="7"/>
        <v>-2605.8844384292834</v>
      </c>
    </row>
    <row r="254" spans="1:3" x14ac:dyDescent="0.45">
      <c r="A254" s="8">
        <v>24.3</v>
      </c>
      <c r="B254" s="9">
        <f t="shared" si="6"/>
        <v>257.74042174249661</v>
      </c>
      <c r="C254" s="9">
        <f t="shared" si="7"/>
        <v>-2628.6130282575036</v>
      </c>
    </row>
    <row r="255" spans="1:3" x14ac:dyDescent="0.45">
      <c r="A255" s="8">
        <v>24.4</v>
      </c>
      <c r="B255" s="9">
        <f t="shared" si="6"/>
        <v>258.80108191427638</v>
      </c>
      <c r="C255" s="9">
        <f t="shared" si="7"/>
        <v>-2651.4397180857231</v>
      </c>
    </row>
    <row r="256" spans="1:3" x14ac:dyDescent="0.45">
      <c r="A256" s="8">
        <v>24.5</v>
      </c>
      <c r="B256" s="9">
        <f t="shared" si="6"/>
        <v>259.86174208605621</v>
      </c>
      <c r="C256" s="9">
        <f t="shared" si="7"/>
        <v>-2674.3645079139442</v>
      </c>
    </row>
    <row r="257" spans="1:3" x14ac:dyDescent="0.45">
      <c r="A257" s="8">
        <v>24.6</v>
      </c>
      <c r="B257" s="9">
        <f t="shared" si="6"/>
        <v>260.92240225783604</v>
      </c>
      <c r="C257" s="9">
        <f t="shared" si="7"/>
        <v>-2697.3873977421645</v>
      </c>
    </row>
    <row r="258" spans="1:3" x14ac:dyDescent="0.45">
      <c r="A258" s="8">
        <v>24.7</v>
      </c>
      <c r="B258" s="9">
        <f t="shared" si="6"/>
        <v>261.98306242961587</v>
      </c>
      <c r="C258" s="9">
        <f t="shared" si="7"/>
        <v>-2720.5083875703835</v>
      </c>
    </row>
    <row r="259" spans="1:3" x14ac:dyDescent="0.45">
      <c r="A259" s="8">
        <v>24.8</v>
      </c>
      <c r="B259" s="9">
        <f t="shared" si="6"/>
        <v>263.0437226013957</v>
      </c>
      <c r="C259" s="9">
        <f t="shared" si="7"/>
        <v>-2743.7274773986051</v>
      </c>
    </row>
    <row r="260" spans="1:3" x14ac:dyDescent="0.45">
      <c r="A260" s="8">
        <v>24.9</v>
      </c>
      <c r="B260" s="9">
        <f t="shared" si="6"/>
        <v>264.10438277317547</v>
      </c>
      <c r="C260" s="9">
        <f t="shared" si="7"/>
        <v>-2767.044667226824</v>
      </c>
    </row>
    <row r="261" spans="1:3" x14ac:dyDescent="0.45">
      <c r="A261" s="8">
        <v>25</v>
      </c>
      <c r="B261" s="9">
        <f t="shared" si="6"/>
        <v>265.1650429449553</v>
      </c>
      <c r="C261" s="9">
        <f t="shared" si="7"/>
        <v>-2790.4599570550445</v>
      </c>
    </row>
    <row r="262" spans="1:3" x14ac:dyDescent="0.45">
      <c r="A262" s="8">
        <v>25.1</v>
      </c>
      <c r="B262" s="9">
        <f t="shared" si="6"/>
        <v>266.22570311673519</v>
      </c>
      <c r="C262" s="9">
        <f t="shared" si="7"/>
        <v>-2813.9733468832655</v>
      </c>
    </row>
    <row r="263" spans="1:3" x14ac:dyDescent="0.45">
      <c r="A263" s="8">
        <v>25.2</v>
      </c>
      <c r="B263" s="9">
        <f t="shared" si="6"/>
        <v>267.28636328851496</v>
      </c>
      <c r="C263" s="9">
        <f t="shared" si="7"/>
        <v>-2837.584836711485</v>
      </c>
    </row>
    <row r="264" spans="1:3" x14ac:dyDescent="0.45">
      <c r="A264" s="8">
        <v>25.3</v>
      </c>
      <c r="B264" s="9">
        <f t="shared" si="6"/>
        <v>268.34702346029479</v>
      </c>
      <c r="C264" s="9">
        <f t="shared" si="7"/>
        <v>-2861.2944265397059</v>
      </c>
    </row>
    <row r="265" spans="1:3" x14ac:dyDescent="0.45">
      <c r="A265" s="8">
        <v>25.4</v>
      </c>
      <c r="B265" s="9">
        <f t="shared" si="6"/>
        <v>269.40768363207462</v>
      </c>
      <c r="C265" s="9">
        <f t="shared" si="7"/>
        <v>-2885.1021163679252</v>
      </c>
    </row>
    <row r="266" spans="1:3" x14ac:dyDescent="0.45">
      <c r="A266" s="8">
        <v>25.5</v>
      </c>
      <c r="B266" s="9">
        <f t="shared" si="6"/>
        <v>270.46834380385445</v>
      </c>
      <c r="C266" s="9">
        <f t="shared" si="7"/>
        <v>-2909.007906196146</v>
      </c>
    </row>
    <row r="267" spans="1:3" x14ac:dyDescent="0.45">
      <c r="A267" s="8">
        <v>25.6</v>
      </c>
      <c r="B267" s="9">
        <f t="shared" si="6"/>
        <v>271.52900397563428</v>
      </c>
      <c r="C267" s="9">
        <f t="shared" si="7"/>
        <v>-2933.0117960243665</v>
      </c>
    </row>
    <row r="268" spans="1:3" x14ac:dyDescent="0.45">
      <c r="A268" s="8">
        <v>25.7</v>
      </c>
      <c r="B268" s="9">
        <f t="shared" ref="B268:B331" si="8">A268*$F$1</f>
        <v>272.58966414741406</v>
      </c>
      <c r="C268" s="9">
        <f t="shared" ref="C268:C331" si="9">$F$2*A268+(0.5*$B$5*A268^2)+$B$4</f>
        <v>-2957.1137858525863</v>
      </c>
    </row>
    <row r="269" spans="1:3" x14ac:dyDescent="0.45">
      <c r="A269" s="8">
        <v>25.8</v>
      </c>
      <c r="B269" s="9">
        <f t="shared" si="8"/>
        <v>273.65032431919389</v>
      </c>
      <c r="C269" s="9">
        <f t="shared" si="9"/>
        <v>-2981.3138756808062</v>
      </c>
    </row>
    <row r="270" spans="1:3" x14ac:dyDescent="0.45">
      <c r="A270" s="8">
        <v>25.9</v>
      </c>
      <c r="B270" s="9">
        <f t="shared" si="8"/>
        <v>274.71098449097371</v>
      </c>
      <c r="C270" s="9">
        <f t="shared" si="9"/>
        <v>-3005.6120655090263</v>
      </c>
    </row>
    <row r="271" spans="1:3" x14ac:dyDescent="0.45">
      <c r="A271" s="8">
        <v>26</v>
      </c>
      <c r="B271" s="9">
        <f t="shared" si="8"/>
        <v>275.77164466275354</v>
      </c>
      <c r="C271" s="9">
        <f t="shared" si="9"/>
        <v>-3030.0083553372469</v>
      </c>
    </row>
    <row r="272" spans="1:3" x14ac:dyDescent="0.45">
      <c r="A272" s="8">
        <v>26.1</v>
      </c>
      <c r="B272" s="9">
        <f t="shared" si="8"/>
        <v>276.83230483453337</v>
      </c>
      <c r="C272" s="9">
        <f t="shared" si="9"/>
        <v>-3054.5027451654669</v>
      </c>
    </row>
    <row r="273" spans="1:3" x14ac:dyDescent="0.45">
      <c r="A273" s="8">
        <v>26.2</v>
      </c>
      <c r="B273" s="9">
        <f t="shared" si="8"/>
        <v>277.8929650063132</v>
      </c>
      <c r="C273" s="9">
        <f t="shared" si="9"/>
        <v>-3079.0952349936865</v>
      </c>
    </row>
    <row r="274" spans="1:3" x14ac:dyDescent="0.45">
      <c r="A274" s="8">
        <v>26.3</v>
      </c>
      <c r="B274" s="9">
        <f t="shared" si="8"/>
        <v>278.95362517809303</v>
      </c>
      <c r="C274" s="9">
        <f t="shared" si="9"/>
        <v>-3103.7858248219077</v>
      </c>
    </row>
    <row r="275" spans="1:3" x14ac:dyDescent="0.45">
      <c r="A275" s="8">
        <v>26.4</v>
      </c>
      <c r="B275" s="9">
        <f t="shared" si="8"/>
        <v>280.01428534987281</v>
      </c>
      <c r="C275" s="9">
        <f t="shared" si="9"/>
        <v>-3128.5745146501272</v>
      </c>
    </row>
    <row r="276" spans="1:3" x14ac:dyDescent="0.45">
      <c r="A276" s="8">
        <v>26.5</v>
      </c>
      <c r="B276" s="9">
        <f t="shared" si="8"/>
        <v>281.07494552165264</v>
      </c>
      <c r="C276" s="9">
        <f t="shared" si="9"/>
        <v>-3153.4613044783473</v>
      </c>
    </row>
    <row r="277" spans="1:3" x14ac:dyDescent="0.45">
      <c r="A277" s="8">
        <v>26.6</v>
      </c>
      <c r="B277" s="9">
        <f t="shared" si="8"/>
        <v>282.13560569343247</v>
      </c>
      <c r="C277" s="9">
        <f t="shared" si="9"/>
        <v>-3178.446194306568</v>
      </c>
    </row>
    <row r="278" spans="1:3" x14ac:dyDescent="0.45">
      <c r="A278" s="8">
        <v>26.7</v>
      </c>
      <c r="B278" s="9">
        <f t="shared" si="8"/>
        <v>283.1962658652123</v>
      </c>
      <c r="C278" s="9">
        <f t="shared" si="9"/>
        <v>-3203.5291841347876</v>
      </c>
    </row>
    <row r="279" spans="1:3" x14ac:dyDescent="0.45">
      <c r="A279" s="8">
        <v>26.8</v>
      </c>
      <c r="B279" s="9">
        <f t="shared" si="8"/>
        <v>284.25692603699213</v>
      </c>
      <c r="C279" s="9">
        <f t="shared" si="9"/>
        <v>-3228.7102739630081</v>
      </c>
    </row>
    <row r="280" spans="1:3" x14ac:dyDescent="0.45">
      <c r="A280" s="8">
        <v>26.9</v>
      </c>
      <c r="B280" s="9">
        <f t="shared" si="8"/>
        <v>285.3175862087719</v>
      </c>
      <c r="C280" s="9">
        <f t="shared" si="9"/>
        <v>-3253.989463791228</v>
      </c>
    </row>
    <row r="281" spans="1:3" x14ac:dyDescent="0.45">
      <c r="A281" s="8">
        <v>27</v>
      </c>
      <c r="B281" s="9">
        <f t="shared" si="8"/>
        <v>286.37824638055179</v>
      </c>
      <c r="C281" s="9">
        <f t="shared" si="9"/>
        <v>-3279.3667536194484</v>
      </c>
    </row>
    <row r="282" spans="1:3" x14ac:dyDescent="0.45">
      <c r="A282" s="8">
        <v>27.1</v>
      </c>
      <c r="B282" s="9">
        <f t="shared" si="8"/>
        <v>287.43890655233162</v>
      </c>
      <c r="C282" s="9">
        <f t="shared" si="9"/>
        <v>-3304.8421434476691</v>
      </c>
    </row>
    <row r="283" spans="1:3" x14ac:dyDescent="0.45">
      <c r="A283" s="8">
        <v>27.2</v>
      </c>
      <c r="B283" s="9">
        <f t="shared" si="8"/>
        <v>288.49956672411139</v>
      </c>
      <c r="C283" s="9">
        <f t="shared" si="9"/>
        <v>-3330.4156332758885</v>
      </c>
    </row>
    <row r="284" spans="1:3" x14ac:dyDescent="0.45">
      <c r="A284" s="8">
        <v>27.3</v>
      </c>
      <c r="B284" s="9">
        <f t="shared" si="8"/>
        <v>289.56022689589122</v>
      </c>
      <c r="C284" s="9">
        <f t="shared" si="9"/>
        <v>-3356.0872231041094</v>
      </c>
    </row>
    <row r="285" spans="1:3" x14ac:dyDescent="0.45">
      <c r="A285" s="8">
        <v>27.4</v>
      </c>
      <c r="B285" s="9">
        <f t="shared" si="8"/>
        <v>290.62088706767105</v>
      </c>
      <c r="C285" s="9">
        <f t="shared" si="9"/>
        <v>-3381.8569129323287</v>
      </c>
    </row>
    <row r="286" spans="1:3" x14ac:dyDescent="0.45">
      <c r="A286" s="8">
        <v>27.5</v>
      </c>
      <c r="B286" s="9">
        <f t="shared" si="8"/>
        <v>291.68154723945088</v>
      </c>
      <c r="C286" s="9">
        <f t="shared" si="9"/>
        <v>-3407.724702760549</v>
      </c>
    </row>
    <row r="287" spans="1:3" x14ac:dyDescent="0.45">
      <c r="A287" s="8">
        <v>27.6</v>
      </c>
      <c r="B287" s="9">
        <f t="shared" si="8"/>
        <v>292.74220741123071</v>
      </c>
      <c r="C287" s="9">
        <f t="shared" si="9"/>
        <v>-3433.69059258877</v>
      </c>
    </row>
    <row r="288" spans="1:3" x14ac:dyDescent="0.45">
      <c r="A288" s="8">
        <v>27.7</v>
      </c>
      <c r="B288" s="9">
        <f t="shared" si="8"/>
        <v>293.80286758301048</v>
      </c>
      <c r="C288" s="9">
        <f t="shared" si="9"/>
        <v>-3459.7545824169893</v>
      </c>
    </row>
    <row r="289" spans="1:3" x14ac:dyDescent="0.45">
      <c r="A289" s="8">
        <v>27.8</v>
      </c>
      <c r="B289" s="9">
        <f t="shared" si="8"/>
        <v>294.86352775479031</v>
      </c>
      <c r="C289" s="9">
        <f t="shared" si="9"/>
        <v>-3485.9166722452101</v>
      </c>
    </row>
    <row r="290" spans="1:3" x14ac:dyDescent="0.45">
      <c r="A290" s="8">
        <v>27.9</v>
      </c>
      <c r="B290" s="9">
        <f t="shared" si="8"/>
        <v>295.92418792657014</v>
      </c>
      <c r="C290" s="9">
        <f t="shared" si="9"/>
        <v>-3512.1768620734301</v>
      </c>
    </row>
    <row r="291" spans="1:3" x14ac:dyDescent="0.45">
      <c r="A291" s="8">
        <v>28</v>
      </c>
      <c r="B291" s="9">
        <f t="shared" si="8"/>
        <v>296.98484809834997</v>
      </c>
      <c r="C291" s="9">
        <f t="shared" si="9"/>
        <v>-3538.5351519016499</v>
      </c>
    </row>
    <row r="292" spans="1:3" x14ac:dyDescent="0.45">
      <c r="A292" s="8">
        <v>28.1</v>
      </c>
      <c r="B292" s="9">
        <f t="shared" si="8"/>
        <v>298.0455082701298</v>
      </c>
      <c r="C292" s="9">
        <f t="shared" si="9"/>
        <v>-3564.9915417298712</v>
      </c>
    </row>
    <row r="293" spans="1:3" x14ac:dyDescent="0.45">
      <c r="A293" s="8">
        <v>28.2</v>
      </c>
      <c r="B293" s="9">
        <f t="shared" si="8"/>
        <v>299.10616844190963</v>
      </c>
      <c r="C293" s="9">
        <f t="shared" si="9"/>
        <v>-3591.5460315580908</v>
      </c>
    </row>
    <row r="294" spans="1:3" x14ac:dyDescent="0.45">
      <c r="A294" s="8">
        <v>28.3</v>
      </c>
      <c r="B294" s="9">
        <f t="shared" si="8"/>
        <v>300.16682861368946</v>
      </c>
      <c r="C294" s="9">
        <f t="shared" si="9"/>
        <v>-3618.1986213863111</v>
      </c>
    </row>
    <row r="295" spans="1:3" x14ac:dyDescent="0.45">
      <c r="A295" s="8">
        <v>28.4</v>
      </c>
      <c r="B295" s="9">
        <f t="shared" si="8"/>
        <v>301.22748878546923</v>
      </c>
      <c r="C295" s="9">
        <f t="shared" si="9"/>
        <v>-3644.9493112145306</v>
      </c>
    </row>
    <row r="296" spans="1:3" x14ac:dyDescent="0.45">
      <c r="A296" s="8">
        <v>28.5</v>
      </c>
      <c r="B296" s="9">
        <f t="shared" si="8"/>
        <v>302.28814895724906</v>
      </c>
      <c r="C296" s="9">
        <f t="shared" si="9"/>
        <v>-3671.7981010427511</v>
      </c>
    </row>
    <row r="297" spans="1:3" x14ac:dyDescent="0.45">
      <c r="A297" s="8">
        <v>28.6</v>
      </c>
      <c r="B297" s="9">
        <f t="shared" si="8"/>
        <v>303.34880912902889</v>
      </c>
      <c r="C297" s="9">
        <f t="shared" si="9"/>
        <v>-3698.7449908709718</v>
      </c>
    </row>
    <row r="298" spans="1:3" x14ac:dyDescent="0.45">
      <c r="A298" s="8">
        <v>28.7</v>
      </c>
      <c r="B298" s="9">
        <f t="shared" si="8"/>
        <v>304.40946930080872</v>
      </c>
      <c r="C298" s="9">
        <f t="shared" si="9"/>
        <v>-3725.7899806991913</v>
      </c>
    </row>
    <row r="299" spans="1:3" x14ac:dyDescent="0.45">
      <c r="A299" s="8">
        <v>28.8</v>
      </c>
      <c r="B299" s="9">
        <f t="shared" si="8"/>
        <v>305.47012947258855</v>
      </c>
      <c r="C299" s="9">
        <f t="shared" si="9"/>
        <v>-3752.9330705274124</v>
      </c>
    </row>
    <row r="300" spans="1:3" x14ac:dyDescent="0.45">
      <c r="A300" s="8">
        <v>28.9</v>
      </c>
      <c r="B300" s="9">
        <f t="shared" si="8"/>
        <v>306.53078964436833</v>
      </c>
      <c r="C300" s="9">
        <f t="shared" si="9"/>
        <v>-3780.1742603556313</v>
      </c>
    </row>
    <row r="301" spans="1:3" x14ac:dyDescent="0.45">
      <c r="A301" s="8">
        <v>29</v>
      </c>
      <c r="B301" s="9">
        <f t="shared" si="8"/>
        <v>307.59144981614816</v>
      </c>
      <c r="C301" s="9">
        <f t="shared" si="9"/>
        <v>-3807.5135501838522</v>
      </c>
    </row>
    <row r="302" spans="1:3" x14ac:dyDescent="0.45">
      <c r="A302" s="8">
        <v>29.1</v>
      </c>
      <c r="B302" s="9">
        <f t="shared" si="8"/>
        <v>308.65210998792804</v>
      </c>
      <c r="C302" s="9">
        <f t="shared" si="9"/>
        <v>-3834.9509400120728</v>
      </c>
    </row>
    <row r="303" spans="1:3" x14ac:dyDescent="0.45">
      <c r="A303" s="8">
        <v>29.2</v>
      </c>
      <c r="B303" s="9">
        <f t="shared" si="8"/>
        <v>309.71277015970782</v>
      </c>
      <c r="C303" s="9">
        <f t="shared" si="9"/>
        <v>-3862.4864298402922</v>
      </c>
    </row>
    <row r="304" spans="1:3" x14ac:dyDescent="0.45">
      <c r="A304" s="8">
        <v>29.3</v>
      </c>
      <c r="B304" s="9">
        <f t="shared" si="8"/>
        <v>310.77343033148765</v>
      </c>
      <c r="C304" s="9">
        <f t="shared" si="9"/>
        <v>-3890.1200196685131</v>
      </c>
    </row>
    <row r="305" spans="1:3" x14ac:dyDescent="0.45">
      <c r="A305" s="8">
        <v>29.4</v>
      </c>
      <c r="B305" s="9">
        <f t="shared" si="8"/>
        <v>311.83409050326748</v>
      </c>
      <c r="C305" s="9">
        <f t="shared" si="9"/>
        <v>-3917.8517094967319</v>
      </c>
    </row>
    <row r="306" spans="1:3" x14ac:dyDescent="0.45">
      <c r="A306" s="8">
        <v>29.5</v>
      </c>
      <c r="B306" s="9">
        <f t="shared" si="8"/>
        <v>312.89475067504731</v>
      </c>
      <c r="C306" s="9">
        <f t="shared" si="9"/>
        <v>-3945.6814993249527</v>
      </c>
    </row>
    <row r="307" spans="1:3" x14ac:dyDescent="0.45">
      <c r="A307" s="8">
        <v>29.6</v>
      </c>
      <c r="B307" s="9">
        <f t="shared" si="8"/>
        <v>313.95541084682714</v>
      </c>
      <c r="C307" s="9">
        <f t="shared" si="9"/>
        <v>-3973.6093891531741</v>
      </c>
    </row>
    <row r="308" spans="1:3" x14ac:dyDescent="0.45">
      <c r="A308" s="8">
        <v>29.7</v>
      </c>
      <c r="B308" s="9">
        <f t="shared" si="8"/>
        <v>315.01607101860691</v>
      </c>
      <c r="C308" s="9">
        <f t="shared" si="9"/>
        <v>-4001.6353789813925</v>
      </c>
    </row>
    <row r="309" spans="1:3" x14ac:dyDescent="0.45">
      <c r="A309" s="8">
        <v>29.8</v>
      </c>
      <c r="B309" s="9">
        <f t="shared" si="8"/>
        <v>316.07673119038674</v>
      </c>
      <c r="C309" s="9">
        <f t="shared" si="9"/>
        <v>-4029.7594688096137</v>
      </c>
    </row>
    <row r="310" spans="1:3" x14ac:dyDescent="0.45">
      <c r="A310" s="8">
        <v>29.9</v>
      </c>
      <c r="B310" s="9">
        <f t="shared" si="8"/>
        <v>317.13739136216657</v>
      </c>
      <c r="C310" s="9">
        <f t="shared" si="9"/>
        <v>-4057.9816586378329</v>
      </c>
    </row>
    <row r="311" spans="1:3" x14ac:dyDescent="0.45">
      <c r="A311" s="8">
        <v>30</v>
      </c>
      <c r="B311" s="9">
        <f t="shared" si="8"/>
        <v>318.1980515339464</v>
      </c>
      <c r="C311" s="9">
        <f t="shared" si="9"/>
        <v>-4086.3019484660535</v>
      </c>
    </row>
    <row r="312" spans="1:3" x14ac:dyDescent="0.45">
      <c r="A312" s="8">
        <v>30.1</v>
      </c>
      <c r="B312" s="9">
        <f t="shared" si="8"/>
        <v>319.25871170572623</v>
      </c>
      <c r="C312" s="9">
        <f t="shared" si="9"/>
        <v>-4114.7203382942744</v>
      </c>
    </row>
    <row r="313" spans="1:3" x14ac:dyDescent="0.45">
      <c r="A313" s="8">
        <v>30.2</v>
      </c>
      <c r="B313" s="9">
        <f t="shared" si="8"/>
        <v>320.31937187750606</v>
      </c>
      <c r="C313" s="9">
        <f t="shared" si="9"/>
        <v>-4143.2368281224935</v>
      </c>
    </row>
    <row r="314" spans="1:3" x14ac:dyDescent="0.45">
      <c r="A314" s="8">
        <v>30.3</v>
      </c>
      <c r="B314" s="9">
        <f t="shared" si="8"/>
        <v>321.38003204928589</v>
      </c>
      <c r="C314" s="9">
        <f t="shared" si="9"/>
        <v>-4171.8514179507147</v>
      </c>
    </row>
    <row r="315" spans="1:3" x14ac:dyDescent="0.45">
      <c r="A315" s="8">
        <v>30.4</v>
      </c>
      <c r="B315" s="9">
        <f t="shared" si="8"/>
        <v>322.44069222106566</v>
      </c>
      <c r="C315" s="9">
        <f t="shared" si="9"/>
        <v>-4200.5641077789342</v>
      </c>
    </row>
    <row r="316" spans="1:3" x14ac:dyDescent="0.45">
      <c r="A316" s="8">
        <v>30.5</v>
      </c>
      <c r="B316" s="9">
        <f t="shared" si="8"/>
        <v>323.50135239284549</v>
      </c>
      <c r="C316" s="9">
        <f t="shared" si="9"/>
        <v>-4229.3748976071547</v>
      </c>
    </row>
    <row r="317" spans="1:3" x14ac:dyDescent="0.45">
      <c r="A317" s="8">
        <v>30.6</v>
      </c>
      <c r="B317" s="9">
        <f t="shared" si="8"/>
        <v>324.56201256462532</v>
      </c>
      <c r="C317" s="9">
        <f t="shared" si="9"/>
        <v>-4258.2837874353754</v>
      </c>
    </row>
    <row r="318" spans="1:3" x14ac:dyDescent="0.45">
      <c r="A318" s="8">
        <v>30.7</v>
      </c>
      <c r="B318" s="9">
        <f t="shared" si="8"/>
        <v>325.62267273640515</v>
      </c>
      <c r="C318" s="9">
        <f t="shared" si="9"/>
        <v>-4287.2907772635954</v>
      </c>
    </row>
    <row r="319" spans="1:3" x14ac:dyDescent="0.45">
      <c r="A319" s="8">
        <v>30.8</v>
      </c>
      <c r="B319" s="9">
        <f t="shared" si="8"/>
        <v>326.68333290818498</v>
      </c>
      <c r="C319" s="9">
        <f t="shared" si="9"/>
        <v>-4316.3958670918164</v>
      </c>
    </row>
    <row r="320" spans="1:3" x14ac:dyDescent="0.45">
      <c r="A320" s="8">
        <v>30.9</v>
      </c>
      <c r="B320" s="9">
        <f t="shared" si="8"/>
        <v>327.74399307996475</v>
      </c>
      <c r="C320" s="9">
        <f t="shared" si="9"/>
        <v>-4345.5990569200358</v>
      </c>
    </row>
    <row r="321" spans="1:3" x14ac:dyDescent="0.45">
      <c r="A321" s="8">
        <v>31</v>
      </c>
      <c r="B321" s="9">
        <f t="shared" si="8"/>
        <v>328.80465325174464</v>
      </c>
      <c r="C321" s="9">
        <f t="shared" si="9"/>
        <v>-4374.9003467482553</v>
      </c>
    </row>
    <row r="322" spans="1:3" x14ac:dyDescent="0.45">
      <c r="A322" s="8">
        <v>31.1</v>
      </c>
      <c r="B322" s="9">
        <f t="shared" si="8"/>
        <v>329.86531342352447</v>
      </c>
      <c r="C322" s="9">
        <f t="shared" si="9"/>
        <v>-4404.2997365764759</v>
      </c>
    </row>
    <row r="323" spans="1:3" x14ac:dyDescent="0.45">
      <c r="A323" s="8">
        <v>31.2</v>
      </c>
      <c r="B323" s="9">
        <f t="shared" si="8"/>
        <v>330.92597359530424</v>
      </c>
      <c r="C323" s="9">
        <f t="shared" si="9"/>
        <v>-4433.7972264046966</v>
      </c>
    </row>
    <row r="324" spans="1:3" x14ac:dyDescent="0.45">
      <c r="A324" s="8">
        <v>31.3</v>
      </c>
      <c r="B324" s="9">
        <f t="shared" si="8"/>
        <v>331.98663376708407</v>
      </c>
      <c r="C324" s="9">
        <f t="shared" si="9"/>
        <v>-4463.3928162329166</v>
      </c>
    </row>
    <row r="325" spans="1:3" x14ac:dyDescent="0.45">
      <c r="A325" s="8">
        <v>31.4</v>
      </c>
      <c r="B325" s="9">
        <f t="shared" si="8"/>
        <v>333.0472939388639</v>
      </c>
      <c r="C325" s="9">
        <f t="shared" si="9"/>
        <v>-4493.0865060611359</v>
      </c>
    </row>
    <row r="326" spans="1:3" x14ac:dyDescent="0.45">
      <c r="A326" s="8">
        <v>31.5</v>
      </c>
      <c r="B326" s="9">
        <f t="shared" si="8"/>
        <v>334.10795411064373</v>
      </c>
      <c r="C326" s="9">
        <f t="shared" si="9"/>
        <v>-4522.8782958893562</v>
      </c>
    </row>
    <row r="327" spans="1:3" x14ac:dyDescent="0.45">
      <c r="A327" s="8">
        <v>31.6</v>
      </c>
      <c r="B327" s="9">
        <f t="shared" si="8"/>
        <v>335.16861428242356</v>
      </c>
      <c r="C327" s="9">
        <f t="shared" si="9"/>
        <v>-4552.7681857175767</v>
      </c>
    </row>
    <row r="328" spans="1:3" x14ac:dyDescent="0.45">
      <c r="A328" s="8">
        <v>31.7</v>
      </c>
      <c r="B328" s="9">
        <f t="shared" si="8"/>
        <v>336.22927445420333</v>
      </c>
      <c r="C328" s="9">
        <f t="shared" si="9"/>
        <v>-4582.7561755457973</v>
      </c>
    </row>
    <row r="329" spans="1:3" x14ac:dyDescent="0.45">
      <c r="A329" s="8">
        <v>31.8</v>
      </c>
      <c r="B329" s="9">
        <f t="shared" si="8"/>
        <v>337.28993462598316</v>
      </c>
      <c r="C329" s="9">
        <f t="shared" si="9"/>
        <v>-4612.8422653740172</v>
      </c>
    </row>
    <row r="330" spans="1:3" x14ac:dyDescent="0.45">
      <c r="A330" s="8">
        <v>31.9</v>
      </c>
      <c r="B330" s="9">
        <f t="shared" si="8"/>
        <v>338.35059479776299</v>
      </c>
      <c r="C330" s="9">
        <f t="shared" si="9"/>
        <v>-4643.0264552022372</v>
      </c>
    </row>
    <row r="331" spans="1:3" x14ac:dyDescent="0.45">
      <c r="A331" s="8">
        <v>32</v>
      </c>
      <c r="B331" s="9">
        <f t="shared" si="8"/>
        <v>339.41125496954282</v>
      </c>
      <c r="C331" s="9">
        <f t="shared" si="9"/>
        <v>-4673.3087450304574</v>
      </c>
    </row>
    <row r="332" spans="1:3" x14ac:dyDescent="0.45">
      <c r="A332" s="8">
        <v>32.1</v>
      </c>
      <c r="B332" s="9">
        <f t="shared" ref="B332:B395" si="10">A332*$F$1</f>
        <v>340.47191514132265</v>
      </c>
      <c r="C332" s="9">
        <f t="shared" ref="C332:C395" si="11">$F$2*A332+(0.5*$B$5*A332^2)+$B$4</f>
        <v>-4703.6891348586778</v>
      </c>
    </row>
    <row r="333" spans="1:3" x14ac:dyDescent="0.45">
      <c r="A333" s="8">
        <v>32.200000000000003</v>
      </c>
      <c r="B333" s="9">
        <f t="shared" si="10"/>
        <v>341.53257531310248</v>
      </c>
      <c r="C333" s="9">
        <f t="shared" si="11"/>
        <v>-4734.1676246868983</v>
      </c>
    </row>
    <row r="334" spans="1:3" x14ac:dyDescent="0.45">
      <c r="A334" s="8">
        <v>32.299999999999997</v>
      </c>
      <c r="B334" s="9">
        <f t="shared" si="10"/>
        <v>342.59323548488226</v>
      </c>
      <c r="C334" s="9">
        <f t="shared" si="11"/>
        <v>-4764.7442145151172</v>
      </c>
    </row>
    <row r="335" spans="1:3" x14ac:dyDescent="0.45">
      <c r="A335" s="8">
        <v>32.4</v>
      </c>
      <c r="B335" s="9">
        <f t="shared" si="10"/>
        <v>343.65389565666209</v>
      </c>
      <c r="C335" s="9">
        <f t="shared" si="11"/>
        <v>-4795.418904343338</v>
      </c>
    </row>
    <row r="336" spans="1:3" x14ac:dyDescent="0.45">
      <c r="A336" s="8">
        <v>32.5</v>
      </c>
      <c r="B336" s="9">
        <f t="shared" si="10"/>
        <v>344.71455582844192</v>
      </c>
      <c r="C336" s="9">
        <f t="shared" si="11"/>
        <v>-4826.1916941715581</v>
      </c>
    </row>
    <row r="337" spans="1:3" x14ac:dyDescent="0.45">
      <c r="A337" s="8">
        <v>32.6</v>
      </c>
      <c r="B337" s="9">
        <f t="shared" si="10"/>
        <v>345.77521600022175</v>
      </c>
      <c r="C337" s="9">
        <f t="shared" si="11"/>
        <v>-4857.0625839997783</v>
      </c>
    </row>
    <row r="338" spans="1:3" x14ac:dyDescent="0.45">
      <c r="A338" s="8">
        <v>32.700000000000003</v>
      </c>
      <c r="B338" s="9">
        <f t="shared" si="10"/>
        <v>346.83587617200158</v>
      </c>
      <c r="C338" s="9">
        <f t="shared" si="11"/>
        <v>-4888.0315738279996</v>
      </c>
    </row>
    <row r="339" spans="1:3" x14ac:dyDescent="0.45">
      <c r="A339" s="8">
        <v>32.799999999999997</v>
      </c>
      <c r="B339" s="9">
        <f t="shared" si="10"/>
        <v>347.89653634378135</v>
      </c>
      <c r="C339" s="9">
        <f t="shared" si="11"/>
        <v>-4919.0986636562193</v>
      </c>
    </row>
    <row r="340" spans="1:3" x14ac:dyDescent="0.45">
      <c r="A340" s="8">
        <v>32.9</v>
      </c>
      <c r="B340" s="9">
        <f t="shared" si="10"/>
        <v>348.95719651556118</v>
      </c>
      <c r="C340" s="9">
        <f t="shared" si="11"/>
        <v>-4950.2638534844382</v>
      </c>
    </row>
    <row r="341" spans="1:3" x14ac:dyDescent="0.45">
      <c r="A341" s="8">
        <v>33</v>
      </c>
      <c r="B341" s="9">
        <f t="shared" si="10"/>
        <v>350.01785668734101</v>
      </c>
      <c r="C341" s="9">
        <f t="shared" si="11"/>
        <v>-4981.5271433126591</v>
      </c>
    </row>
    <row r="342" spans="1:3" x14ac:dyDescent="0.45">
      <c r="A342" s="8">
        <v>33.1</v>
      </c>
      <c r="B342" s="9">
        <f t="shared" si="10"/>
        <v>351.0785168591209</v>
      </c>
      <c r="C342" s="9">
        <f t="shared" si="11"/>
        <v>-5012.8885331408801</v>
      </c>
    </row>
    <row r="343" spans="1:3" x14ac:dyDescent="0.45">
      <c r="A343" s="8">
        <v>33.200000000000003</v>
      </c>
      <c r="B343" s="9">
        <f t="shared" si="10"/>
        <v>352.13917703090073</v>
      </c>
      <c r="C343" s="9">
        <f t="shared" si="11"/>
        <v>-5044.3480229691004</v>
      </c>
    </row>
    <row r="344" spans="1:3" x14ac:dyDescent="0.45">
      <c r="A344" s="8">
        <v>33.299999999999997</v>
      </c>
      <c r="B344" s="9">
        <f t="shared" si="10"/>
        <v>353.1998372026805</v>
      </c>
      <c r="C344" s="9">
        <f t="shared" si="11"/>
        <v>-5075.9056127973199</v>
      </c>
    </row>
    <row r="345" spans="1:3" x14ac:dyDescent="0.45">
      <c r="A345" s="8">
        <v>33.4</v>
      </c>
      <c r="B345" s="9">
        <f t="shared" si="10"/>
        <v>354.26049737446033</v>
      </c>
      <c r="C345" s="9">
        <f t="shared" si="11"/>
        <v>-5107.5613026255396</v>
      </c>
    </row>
    <row r="346" spans="1:3" x14ac:dyDescent="0.45">
      <c r="A346" s="8">
        <v>33.5</v>
      </c>
      <c r="B346" s="9">
        <f t="shared" si="10"/>
        <v>355.32115754624016</v>
      </c>
      <c r="C346" s="9">
        <f t="shared" si="11"/>
        <v>-5139.3150924537604</v>
      </c>
    </row>
    <row r="347" spans="1:3" x14ac:dyDescent="0.45">
      <c r="A347" s="8">
        <v>33.6</v>
      </c>
      <c r="B347" s="9">
        <f t="shared" si="10"/>
        <v>356.38181771801999</v>
      </c>
      <c r="C347" s="9">
        <f t="shared" si="11"/>
        <v>-5171.1669822819804</v>
      </c>
    </row>
    <row r="348" spans="1:3" x14ac:dyDescent="0.45">
      <c r="A348" s="8">
        <v>33.700000000000003</v>
      </c>
      <c r="B348" s="9">
        <f t="shared" si="10"/>
        <v>357.44247788979982</v>
      </c>
      <c r="C348" s="9">
        <f t="shared" si="11"/>
        <v>-5203.1169721102015</v>
      </c>
    </row>
    <row r="349" spans="1:3" x14ac:dyDescent="0.45">
      <c r="A349" s="8">
        <v>33.799999999999997</v>
      </c>
      <c r="B349" s="9">
        <f t="shared" si="10"/>
        <v>358.50313806157959</v>
      </c>
      <c r="C349" s="9">
        <f t="shared" si="11"/>
        <v>-5235.16506193842</v>
      </c>
    </row>
    <row r="350" spans="1:3" x14ac:dyDescent="0.45">
      <c r="A350" s="8">
        <v>33.9</v>
      </c>
      <c r="B350" s="9">
        <f t="shared" si="10"/>
        <v>359.56379823335942</v>
      </c>
      <c r="C350" s="9">
        <f t="shared" si="11"/>
        <v>-5267.3112517666405</v>
      </c>
    </row>
    <row r="351" spans="1:3" x14ac:dyDescent="0.45">
      <c r="A351" s="8">
        <v>34</v>
      </c>
      <c r="B351" s="9">
        <f t="shared" si="10"/>
        <v>360.62445840513925</v>
      </c>
      <c r="C351" s="9">
        <f t="shared" si="11"/>
        <v>-5299.5555415948611</v>
      </c>
    </row>
    <row r="352" spans="1:3" x14ac:dyDescent="0.45">
      <c r="A352" s="8">
        <v>34.1</v>
      </c>
      <c r="B352" s="9">
        <f t="shared" si="10"/>
        <v>361.68511857691908</v>
      </c>
      <c r="C352" s="9">
        <f t="shared" si="11"/>
        <v>-5331.8979314230819</v>
      </c>
    </row>
    <row r="353" spans="1:3" x14ac:dyDescent="0.45">
      <c r="A353" s="8">
        <v>34.200000000000003</v>
      </c>
      <c r="B353" s="9">
        <f t="shared" si="10"/>
        <v>362.74577874869891</v>
      </c>
      <c r="C353" s="9">
        <f t="shared" si="11"/>
        <v>-5364.338421251302</v>
      </c>
    </row>
    <row r="354" spans="1:3" x14ac:dyDescent="0.45">
      <c r="A354" s="8">
        <v>34.299999999999997</v>
      </c>
      <c r="B354" s="9">
        <f t="shared" si="10"/>
        <v>363.80643892047868</v>
      </c>
      <c r="C354" s="9">
        <f t="shared" si="11"/>
        <v>-5396.8770110795213</v>
      </c>
    </row>
    <row r="355" spans="1:3" x14ac:dyDescent="0.45">
      <c r="A355" s="8">
        <v>34.4</v>
      </c>
      <c r="B355" s="9">
        <f t="shared" si="10"/>
        <v>364.86709909225851</v>
      </c>
      <c r="C355" s="9">
        <f t="shared" si="11"/>
        <v>-5429.5137009077416</v>
      </c>
    </row>
    <row r="356" spans="1:3" x14ac:dyDescent="0.45">
      <c r="A356" s="8">
        <v>34.5</v>
      </c>
      <c r="B356" s="9">
        <f t="shared" si="10"/>
        <v>365.92775926403834</v>
      </c>
      <c r="C356" s="9">
        <f t="shared" si="11"/>
        <v>-5462.2484907359622</v>
      </c>
    </row>
    <row r="357" spans="1:3" x14ac:dyDescent="0.45">
      <c r="A357" s="8">
        <v>34.6</v>
      </c>
      <c r="B357" s="9">
        <f t="shared" si="10"/>
        <v>366.98841943581817</v>
      </c>
      <c r="C357" s="9">
        <f t="shared" si="11"/>
        <v>-5495.0813805641828</v>
      </c>
    </row>
    <row r="358" spans="1:3" x14ac:dyDescent="0.45">
      <c r="A358" s="8">
        <v>34.700000000000003</v>
      </c>
      <c r="B358" s="9">
        <f t="shared" si="10"/>
        <v>368.049079607598</v>
      </c>
      <c r="C358" s="9">
        <f t="shared" si="11"/>
        <v>-5528.0123703924028</v>
      </c>
    </row>
    <row r="359" spans="1:3" x14ac:dyDescent="0.45">
      <c r="A359" s="8">
        <v>34.799999999999997</v>
      </c>
      <c r="B359" s="9">
        <f t="shared" si="10"/>
        <v>369.10973977937778</v>
      </c>
      <c r="C359" s="9">
        <f t="shared" si="11"/>
        <v>-5561.041460220622</v>
      </c>
    </row>
    <row r="360" spans="1:3" x14ac:dyDescent="0.45">
      <c r="A360" s="8">
        <v>34.9</v>
      </c>
      <c r="B360" s="9">
        <f t="shared" si="10"/>
        <v>370.17039995115761</v>
      </c>
      <c r="C360" s="9">
        <f t="shared" si="11"/>
        <v>-5594.1686500488431</v>
      </c>
    </row>
    <row r="361" spans="1:3" x14ac:dyDescent="0.45">
      <c r="A361" s="8">
        <v>35</v>
      </c>
      <c r="B361" s="9">
        <f t="shared" si="10"/>
        <v>371.23106012293749</v>
      </c>
      <c r="C361" s="9">
        <f t="shared" si="11"/>
        <v>-5627.3939398770626</v>
      </c>
    </row>
    <row r="362" spans="1:3" x14ac:dyDescent="0.45">
      <c r="A362" s="8">
        <v>35.1</v>
      </c>
      <c r="B362" s="9">
        <f t="shared" si="10"/>
        <v>372.29172029471732</v>
      </c>
      <c r="C362" s="9">
        <f t="shared" si="11"/>
        <v>-5660.7173297052832</v>
      </c>
    </row>
    <row r="363" spans="1:3" x14ac:dyDescent="0.45">
      <c r="A363" s="8">
        <v>35.200000000000003</v>
      </c>
      <c r="B363" s="9">
        <f t="shared" si="10"/>
        <v>373.35238046649715</v>
      </c>
      <c r="C363" s="9">
        <f t="shared" si="11"/>
        <v>-5694.1388195335039</v>
      </c>
    </row>
    <row r="364" spans="1:3" x14ac:dyDescent="0.45">
      <c r="A364" s="8">
        <v>35.299999999999997</v>
      </c>
      <c r="B364" s="9">
        <f t="shared" si="10"/>
        <v>374.41304063827693</v>
      </c>
      <c r="C364" s="9">
        <f t="shared" si="11"/>
        <v>-5727.6584093617221</v>
      </c>
    </row>
    <row r="365" spans="1:3" x14ac:dyDescent="0.45">
      <c r="A365" s="8">
        <v>35.4</v>
      </c>
      <c r="B365" s="9">
        <f t="shared" si="10"/>
        <v>375.47370081005676</v>
      </c>
      <c r="C365" s="9">
        <f t="shared" si="11"/>
        <v>-5761.2760991899431</v>
      </c>
    </row>
    <row r="366" spans="1:3" x14ac:dyDescent="0.45">
      <c r="A366" s="8">
        <v>35.5</v>
      </c>
      <c r="B366" s="9">
        <f t="shared" si="10"/>
        <v>376.53436098183658</v>
      </c>
      <c r="C366" s="9">
        <f t="shared" si="11"/>
        <v>-5794.9918890181634</v>
      </c>
    </row>
    <row r="367" spans="1:3" x14ac:dyDescent="0.45">
      <c r="A367" s="8">
        <v>35.6</v>
      </c>
      <c r="B367" s="9">
        <f t="shared" si="10"/>
        <v>377.59502115361641</v>
      </c>
      <c r="C367" s="9">
        <f t="shared" si="11"/>
        <v>-5828.8057788463848</v>
      </c>
    </row>
    <row r="368" spans="1:3" x14ac:dyDescent="0.45">
      <c r="A368" s="8">
        <v>35.700000000000003</v>
      </c>
      <c r="B368" s="9">
        <f t="shared" si="10"/>
        <v>378.65568132539624</v>
      </c>
      <c r="C368" s="9">
        <f t="shared" si="11"/>
        <v>-5862.7177686746054</v>
      </c>
    </row>
    <row r="369" spans="1:3" x14ac:dyDescent="0.45">
      <c r="A369" s="8">
        <v>35.799999999999997</v>
      </c>
      <c r="B369" s="9">
        <f t="shared" si="10"/>
        <v>379.71634149717602</v>
      </c>
      <c r="C369" s="9">
        <f t="shared" si="11"/>
        <v>-5896.7278585028243</v>
      </c>
    </row>
    <row r="370" spans="1:3" x14ac:dyDescent="0.45">
      <c r="A370" s="8">
        <v>35.9</v>
      </c>
      <c r="B370" s="9">
        <f t="shared" si="10"/>
        <v>380.77700166895585</v>
      </c>
      <c r="C370" s="9">
        <f t="shared" si="11"/>
        <v>-5930.8360483310444</v>
      </c>
    </row>
    <row r="371" spans="1:3" x14ac:dyDescent="0.45">
      <c r="A371" s="8">
        <v>36</v>
      </c>
      <c r="B371" s="9">
        <f t="shared" si="10"/>
        <v>381.83766184073568</v>
      </c>
      <c r="C371" s="9">
        <f t="shared" si="11"/>
        <v>-5965.0423381592645</v>
      </c>
    </row>
    <row r="372" spans="1:3" x14ac:dyDescent="0.45">
      <c r="A372" s="8">
        <v>36.1</v>
      </c>
      <c r="B372" s="9">
        <f t="shared" si="10"/>
        <v>382.89832201251551</v>
      </c>
      <c r="C372" s="9">
        <f t="shared" si="11"/>
        <v>-5999.3467279874849</v>
      </c>
    </row>
    <row r="373" spans="1:3" x14ac:dyDescent="0.45">
      <c r="A373" s="8">
        <v>36.200000000000003</v>
      </c>
      <c r="B373" s="9">
        <f t="shared" si="10"/>
        <v>383.95898218429534</v>
      </c>
      <c r="C373" s="9">
        <f t="shared" si="11"/>
        <v>-6033.7492178157063</v>
      </c>
    </row>
    <row r="374" spans="1:3" x14ac:dyDescent="0.45">
      <c r="A374" s="8">
        <v>36.299999999999997</v>
      </c>
      <c r="B374" s="9">
        <f t="shared" si="10"/>
        <v>385.01964235607511</v>
      </c>
      <c r="C374" s="9">
        <f t="shared" si="11"/>
        <v>-6068.2498076439251</v>
      </c>
    </row>
    <row r="375" spans="1:3" x14ac:dyDescent="0.45">
      <c r="A375" s="8">
        <v>36.4</v>
      </c>
      <c r="B375" s="9">
        <f t="shared" si="10"/>
        <v>386.08030252785494</v>
      </c>
      <c r="C375" s="9">
        <f t="shared" si="11"/>
        <v>-6102.848497472145</v>
      </c>
    </row>
    <row r="376" spans="1:3" x14ac:dyDescent="0.45">
      <c r="A376" s="8">
        <v>36.5</v>
      </c>
      <c r="B376" s="9">
        <f t="shared" si="10"/>
        <v>387.14096269963477</v>
      </c>
      <c r="C376" s="9">
        <f t="shared" si="11"/>
        <v>-6137.545287300366</v>
      </c>
    </row>
    <row r="377" spans="1:3" x14ac:dyDescent="0.45">
      <c r="A377" s="8">
        <v>36.6</v>
      </c>
      <c r="B377" s="9">
        <f t="shared" si="10"/>
        <v>388.2016228714146</v>
      </c>
      <c r="C377" s="9">
        <f t="shared" si="11"/>
        <v>-6172.3401771285862</v>
      </c>
    </row>
    <row r="378" spans="1:3" x14ac:dyDescent="0.45">
      <c r="A378" s="8">
        <v>36.700000000000003</v>
      </c>
      <c r="B378" s="9">
        <f t="shared" si="10"/>
        <v>389.26228304319443</v>
      </c>
      <c r="C378" s="9">
        <f t="shared" si="11"/>
        <v>-6207.2331669568066</v>
      </c>
    </row>
    <row r="379" spans="1:3" x14ac:dyDescent="0.45">
      <c r="A379" s="8">
        <v>36.799999999999997</v>
      </c>
      <c r="B379" s="9">
        <f t="shared" si="10"/>
        <v>390.3229432149742</v>
      </c>
      <c r="C379" s="9">
        <f t="shared" si="11"/>
        <v>-6242.2242567850253</v>
      </c>
    </row>
    <row r="380" spans="1:3" x14ac:dyDescent="0.45">
      <c r="A380" s="8">
        <v>36.9</v>
      </c>
      <c r="B380" s="9">
        <f t="shared" si="10"/>
        <v>391.38360338675403</v>
      </c>
      <c r="C380" s="9">
        <f t="shared" si="11"/>
        <v>-6277.313446613246</v>
      </c>
    </row>
    <row r="381" spans="1:3" x14ac:dyDescent="0.45">
      <c r="A381" s="8">
        <v>37</v>
      </c>
      <c r="B381" s="9">
        <f t="shared" si="10"/>
        <v>392.44426355853386</v>
      </c>
      <c r="C381" s="9">
        <f t="shared" si="11"/>
        <v>-6312.5007364414669</v>
      </c>
    </row>
    <row r="382" spans="1:3" x14ac:dyDescent="0.45">
      <c r="A382" s="8">
        <v>37.1</v>
      </c>
      <c r="B382" s="9">
        <f t="shared" si="10"/>
        <v>393.50492373031375</v>
      </c>
      <c r="C382" s="9">
        <f t="shared" si="11"/>
        <v>-6347.786126269687</v>
      </c>
    </row>
    <row r="383" spans="1:3" x14ac:dyDescent="0.45">
      <c r="A383" s="8">
        <v>37.200000000000003</v>
      </c>
      <c r="B383" s="9">
        <f t="shared" si="10"/>
        <v>394.56558390209358</v>
      </c>
      <c r="C383" s="9">
        <f t="shared" si="11"/>
        <v>-6383.1696160979072</v>
      </c>
    </row>
    <row r="384" spans="1:3" x14ac:dyDescent="0.45">
      <c r="A384" s="8">
        <v>37.299999999999997</v>
      </c>
      <c r="B384" s="9">
        <f t="shared" si="10"/>
        <v>395.62624407387335</v>
      </c>
      <c r="C384" s="9">
        <f t="shared" si="11"/>
        <v>-6418.6512059261258</v>
      </c>
    </row>
    <row r="385" spans="1:3" x14ac:dyDescent="0.45">
      <c r="A385" s="8">
        <v>37.4</v>
      </c>
      <c r="B385" s="9">
        <f t="shared" si="10"/>
        <v>396.68690424565318</v>
      </c>
      <c r="C385" s="9">
        <f t="shared" si="11"/>
        <v>-6454.2308957543473</v>
      </c>
    </row>
    <row r="386" spans="1:3" x14ac:dyDescent="0.45">
      <c r="A386" s="8">
        <v>37.5</v>
      </c>
      <c r="B386" s="9">
        <f t="shared" si="10"/>
        <v>397.74756441743301</v>
      </c>
      <c r="C386" s="9">
        <f t="shared" si="11"/>
        <v>-6489.9086855825672</v>
      </c>
    </row>
    <row r="387" spans="1:3" x14ac:dyDescent="0.45">
      <c r="A387" s="8">
        <v>37.6</v>
      </c>
      <c r="B387" s="9">
        <f t="shared" si="10"/>
        <v>398.80822458921284</v>
      </c>
      <c r="C387" s="9">
        <f t="shared" si="11"/>
        <v>-6525.684575410789</v>
      </c>
    </row>
    <row r="388" spans="1:3" x14ac:dyDescent="0.45">
      <c r="A388" s="8">
        <v>37.700000000000003</v>
      </c>
      <c r="B388" s="9">
        <f t="shared" si="10"/>
        <v>399.86888476099267</v>
      </c>
      <c r="C388" s="9">
        <f t="shared" si="11"/>
        <v>-6561.5585652390082</v>
      </c>
    </row>
    <row r="389" spans="1:3" x14ac:dyDescent="0.45">
      <c r="A389" s="8">
        <v>37.799999999999997</v>
      </c>
      <c r="B389" s="9">
        <f t="shared" si="10"/>
        <v>400.92954493277244</v>
      </c>
      <c r="C389" s="9">
        <f t="shared" si="11"/>
        <v>-6597.5306550672267</v>
      </c>
    </row>
    <row r="390" spans="1:3" x14ac:dyDescent="0.45">
      <c r="A390" s="8">
        <v>37.9</v>
      </c>
      <c r="B390" s="9">
        <f t="shared" si="10"/>
        <v>401.99020510455227</v>
      </c>
      <c r="C390" s="9">
        <f t="shared" si="11"/>
        <v>-6633.6008448954481</v>
      </c>
    </row>
    <row r="391" spans="1:3" x14ac:dyDescent="0.45">
      <c r="A391" s="8">
        <v>38</v>
      </c>
      <c r="B391" s="9">
        <f t="shared" si="10"/>
        <v>403.0508652763321</v>
      </c>
      <c r="C391" s="9">
        <f t="shared" si="11"/>
        <v>-6669.7691347236687</v>
      </c>
    </row>
    <row r="392" spans="1:3" x14ac:dyDescent="0.45">
      <c r="A392" s="8">
        <v>38.1</v>
      </c>
      <c r="B392" s="9">
        <f t="shared" si="10"/>
        <v>404.11152544811193</v>
      </c>
      <c r="C392" s="9">
        <f t="shared" si="11"/>
        <v>-6706.0355245518895</v>
      </c>
    </row>
    <row r="393" spans="1:3" x14ac:dyDescent="0.45">
      <c r="A393" s="8">
        <v>38.200000000000003</v>
      </c>
      <c r="B393" s="9">
        <f t="shared" si="10"/>
        <v>405.17218561989176</v>
      </c>
      <c r="C393" s="9">
        <f t="shared" si="11"/>
        <v>-6742.4000143801095</v>
      </c>
    </row>
    <row r="394" spans="1:3" x14ac:dyDescent="0.45">
      <c r="A394" s="8">
        <v>38.299999999999997</v>
      </c>
      <c r="B394" s="9">
        <f t="shared" si="10"/>
        <v>406.23284579167154</v>
      </c>
      <c r="C394" s="9">
        <f t="shared" si="11"/>
        <v>-6778.8626042083288</v>
      </c>
    </row>
    <row r="395" spans="1:3" x14ac:dyDescent="0.45">
      <c r="A395" s="8">
        <v>38.4</v>
      </c>
      <c r="B395" s="9">
        <f t="shared" si="10"/>
        <v>407.29350596345137</v>
      </c>
      <c r="C395" s="9">
        <f t="shared" si="11"/>
        <v>-6815.4232940365491</v>
      </c>
    </row>
    <row r="396" spans="1:3" x14ac:dyDescent="0.45">
      <c r="A396" s="8">
        <v>38.5</v>
      </c>
      <c r="B396" s="9">
        <f t="shared" ref="B396:B459" si="12">A396*$F$1</f>
        <v>408.3541661352312</v>
      </c>
      <c r="C396" s="9">
        <f t="shared" ref="C396:C459" si="13">$F$2*A396+(0.5*$B$5*A396^2)+$B$4</f>
        <v>-6852.0820838647696</v>
      </c>
    </row>
    <row r="397" spans="1:3" x14ac:dyDescent="0.45">
      <c r="A397" s="8">
        <v>38.6</v>
      </c>
      <c r="B397" s="9">
        <f t="shared" si="12"/>
        <v>409.41482630701103</v>
      </c>
      <c r="C397" s="9">
        <f t="shared" si="13"/>
        <v>-6888.8389736929894</v>
      </c>
    </row>
    <row r="398" spans="1:3" x14ac:dyDescent="0.45">
      <c r="A398" s="8">
        <v>38.700000000000003</v>
      </c>
      <c r="B398" s="9">
        <f t="shared" si="12"/>
        <v>410.47548647879086</v>
      </c>
      <c r="C398" s="9">
        <f t="shared" si="13"/>
        <v>-6925.6939635212111</v>
      </c>
    </row>
    <row r="399" spans="1:3" x14ac:dyDescent="0.45">
      <c r="A399" s="8">
        <v>38.799999999999997</v>
      </c>
      <c r="B399" s="9">
        <f t="shared" si="12"/>
        <v>411.53614665057063</v>
      </c>
      <c r="C399" s="9">
        <f t="shared" si="13"/>
        <v>-6962.6470533494285</v>
      </c>
    </row>
    <row r="400" spans="1:3" x14ac:dyDescent="0.45">
      <c r="A400" s="8">
        <v>38.9</v>
      </c>
      <c r="B400" s="9">
        <f t="shared" si="12"/>
        <v>412.59680682235046</v>
      </c>
      <c r="C400" s="9">
        <f t="shared" si="13"/>
        <v>-6999.6982431776496</v>
      </c>
    </row>
    <row r="401" spans="1:3" x14ac:dyDescent="0.45">
      <c r="A401" s="8">
        <v>39</v>
      </c>
      <c r="B401" s="9">
        <f t="shared" si="12"/>
        <v>413.65746699413035</v>
      </c>
      <c r="C401" s="9">
        <f t="shared" si="13"/>
        <v>-7036.84753300587</v>
      </c>
    </row>
    <row r="402" spans="1:3" x14ac:dyDescent="0.45">
      <c r="A402" s="8">
        <v>39.1</v>
      </c>
      <c r="B402" s="9">
        <f t="shared" si="12"/>
        <v>414.71812716591018</v>
      </c>
      <c r="C402" s="9">
        <f t="shared" si="13"/>
        <v>-7074.0949228340914</v>
      </c>
    </row>
    <row r="403" spans="1:3" x14ac:dyDescent="0.45">
      <c r="A403" s="8">
        <v>39.200000000000003</v>
      </c>
      <c r="B403" s="9">
        <f t="shared" si="12"/>
        <v>415.77878733769001</v>
      </c>
      <c r="C403" s="9">
        <f t="shared" si="13"/>
        <v>-7111.4404126623122</v>
      </c>
    </row>
    <row r="404" spans="1:3" x14ac:dyDescent="0.45">
      <c r="A404" s="8">
        <v>39.299999999999997</v>
      </c>
      <c r="B404" s="9">
        <f t="shared" si="12"/>
        <v>416.83944750946978</v>
      </c>
      <c r="C404" s="9">
        <f t="shared" si="13"/>
        <v>-7148.8840024905294</v>
      </c>
    </row>
    <row r="405" spans="1:3" x14ac:dyDescent="0.45">
      <c r="A405" s="8">
        <v>39.4</v>
      </c>
      <c r="B405" s="9">
        <f t="shared" si="12"/>
        <v>417.90010768124961</v>
      </c>
      <c r="C405" s="9">
        <f t="shared" si="13"/>
        <v>-7186.4256923187504</v>
      </c>
    </row>
    <row r="406" spans="1:3" x14ac:dyDescent="0.45">
      <c r="A406" s="8">
        <v>39.5</v>
      </c>
      <c r="B406" s="9">
        <f t="shared" si="12"/>
        <v>418.96076785302944</v>
      </c>
      <c r="C406" s="9">
        <f t="shared" si="13"/>
        <v>-7224.0654821469716</v>
      </c>
    </row>
    <row r="407" spans="1:3" x14ac:dyDescent="0.45">
      <c r="A407" s="8">
        <v>39.6</v>
      </c>
      <c r="B407" s="9">
        <f t="shared" si="12"/>
        <v>420.02142802480927</v>
      </c>
      <c r="C407" s="9">
        <f t="shared" si="13"/>
        <v>-7261.803371975192</v>
      </c>
    </row>
    <row r="408" spans="1:3" x14ac:dyDescent="0.45">
      <c r="A408" s="8">
        <v>39.700000000000003</v>
      </c>
      <c r="B408" s="9">
        <f t="shared" si="12"/>
        <v>421.0820881965891</v>
      </c>
      <c r="C408" s="9">
        <f t="shared" si="13"/>
        <v>-7299.6393618034117</v>
      </c>
    </row>
    <row r="409" spans="1:3" x14ac:dyDescent="0.45">
      <c r="A409" s="8">
        <v>39.799999999999997</v>
      </c>
      <c r="B409" s="9">
        <f t="shared" si="12"/>
        <v>422.14274836836887</v>
      </c>
      <c r="C409" s="9">
        <f t="shared" si="13"/>
        <v>-7337.5734516316297</v>
      </c>
    </row>
    <row r="410" spans="1:3" x14ac:dyDescent="0.45">
      <c r="A410" s="8">
        <v>39.9</v>
      </c>
      <c r="B410" s="9">
        <f t="shared" si="12"/>
        <v>423.2034085401487</v>
      </c>
      <c r="C410" s="9">
        <f t="shared" si="13"/>
        <v>-7375.6056414598524</v>
      </c>
    </row>
    <row r="411" spans="1:3" x14ac:dyDescent="0.45">
      <c r="A411" s="8">
        <v>40</v>
      </c>
      <c r="B411" s="9">
        <f t="shared" si="12"/>
        <v>424.26406871192853</v>
      </c>
      <c r="C411" s="9">
        <f t="shared" si="13"/>
        <v>-7413.7359312880717</v>
      </c>
    </row>
    <row r="412" spans="1:3" x14ac:dyDescent="0.45">
      <c r="A412" s="8">
        <v>40.1</v>
      </c>
      <c r="B412" s="9">
        <f t="shared" si="12"/>
        <v>425.32472888370836</v>
      </c>
      <c r="C412" s="9">
        <f t="shared" si="13"/>
        <v>-7451.9643211162929</v>
      </c>
    </row>
    <row r="413" spans="1:3" x14ac:dyDescent="0.45">
      <c r="A413" s="8">
        <v>40.200000000000003</v>
      </c>
      <c r="B413" s="9">
        <f t="shared" si="12"/>
        <v>426.38538905548819</v>
      </c>
      <c r="C413" s="9">
        <f t="shared" si="13"/>
        <v>-7490.2908109445134</v>
      </c>
    </row>
    <row r="414" spans="1:3" x14ac:dyDescent="0.45">
      <c r="A414" s="8">
        <v>40.299999999999997</v>
      </c>
      <c r="B414" s="9">
        <f t="shared" si="12"/>
        <v>427.44604922726796</v>
      </c>
      <c r="C414" s="9">
        <f t="shared" si="13"/>
        <v>-7528.7154007727304</v>
      </c>
    </row>
    <row r="415" spans="1:3" x14ac:dyDescent="0.45">
      <c r="A415" s="8">
        <v>40.4</v>
      </c>
      <c r="B415" s="9">
        <f t="shared" si="12"/>
        <v>428.50670939904779</v>
      </c>
      <c r="C415" s="9">
        <f t="shared" si="13"/>
        <v>-7567.2380906009521</v>
      </c>
    </row>
    <row r="416" spans="1:3" x14ac:dyDescent="0.45">
      <c r="A416" s="8">
        <v>40.5</v>
      </c>
      <c r="B416" s="9">
        <f t="shared" si="12"/>
        <v>429.56736957082762</v>
      </c>
      <c r="C416" s="9">
        <f t="shared" si="13"/>
        <v>-7605.858880429173</v>
      </c>
    </row>
    <row r="417" spans="1:3" x14ac:dyDescent="0.45">
      <c r="A417" s="8">
        <v>40.6</v>
      </c>
      <c r="B417" s="9">
        <f t="shared" si="12"/>
        <v>430.62802974260745</v>
      </c>
      <c r="C417" s="9">
        <f t="shared" si="13"/>
        <v>-7644.5777702573932</v>
      </c>
    </row>
    <row r="418" spans="1:3" x14ac:dyDescent="0.45">
      <c r="A418" s="8">
        <v>40.700000000000003</v>
      </c>
      <c r="B418" s="9">
        <f t="shared" si="12"/>
        <v>431.68868991438728</v>
      </c>
      <c r="C418" s="9">
        <f t="shared" si="13"/>
        <v>-7683.3947600856145</v>
      </c>
    </row>
    <row r="419" spans="1:3" x14ac:dyDescent="0.45">
      <c r="A419" s="8">
        <v>40.799999999999997</v>
      </c>
      <c r="B419" s="9">
        <f t="shared" si="12"/>
        <v>432.74935008616706</v>
      </c>
      <c r="C419" s="9">
        <f t="shared" si="13"/>
        <v>-7722.3098499138323</v>
      </c>
    </row>
    <row r="420" spans="1:3" x14ac:dyDescent="0.45">
      <c r="A420" s="8">
        <v>40.9</v>
      </c>
      <c r="B420" s="9">
        <f t="shared" si="12"/>
        <v>433.81001025794689</v>
      </c>
      <c r="C420" s="9">
        <f t="shared" si="13"/>
        <v>-7761.3230397420539</v>
      </c>
    </row>
    <row r="421" spans="1:3" x14ac:dyDescent="0.45">
      <c r="A421" s="8">
        <v>41</v>
      </c>
      <c r="B421" s="9">
        <f t="shared" si="12"/>
        <v>434.87067042972672</v>
      </c>
      <c r="C421" s="9">
        <f t="shared" si="13"/>
        <v>-7800.4343295702738</v>
      </c>
    </row>
    <row r="422" spans="1:3" x14ac:dyDescent="0.45">
      <c r="A422" s="8">
        <v>41.1</v>
      </c>
      <c r="B422" s="9">
        <f t="shared" si="12"/>
        <v>435.9313306015066</v>
      </c>
      <c r="C422" s="9">
        <f t="shared" si="13"/>
        <v>-7839.6437193984948</v>
      </c>
    </row>
    <row r="423" spans="1:3" x14ac:dyDescent="0.45">
      <c r="A423" s="8">
        <v>41.2</v>
      </c>
      <c r="B423" s="9">
        <f t="shared" si="12"/>
        <v>436.99199077328643</v>
      </c>
      <c r="C423" s="9">
        <f t="shared" si="13"/>
        <v>-7878.951209226715</v>
      </c>
    </row>
    <row r="424" spans="1:3" x14ac:dyDescent="0.45">
      <c r="A424" s="8">
        <v>41.3</v>
      </c>
      <c r="B424" s="9">
        <f t="shared" si="12"/>
        <v>438.0526509450662</v>
      </c>
      <c r="C424" s="9">
        <f t="shared" si="13"/>
        <v>-7918.3567990549327</v>
      </c>
    </row>
    <row r="425" spans="1:3" x14ac:dyDescent="0.45">
      <c r="A425" s="8">
        <v>41.4</v>
      </c>
      <c r="B425" s="9">
        <f t="shared" si="12"/>
        <v>439.11331111684603</v>
      </c>
      <c r="C425" s="9">
        <f t="shared" si="13"/>
        <v>-7957.8604888831542</v>
      </c>
    </row>
    <row r="426" spans="1:3" x14ac:dyDescent="0.45">
      <c r="A426" s="8">
        <v>41.5</v>
      </c>
      <c r="B426" s="9">
        <f t="shared" si="12"/>
        <v>440.17397128862586</v>
      </c>
      <c r="C426" s="9">
        <f t="shared" si="13"/>
        <v>-7997.462278711374</v>
      </c>
    </row>
    <row r="427" spans="1:3" x14ac:dyDescent="0.45">
      <c r="A427" s="8">
        <v>41.6</v>
      </c>
      <c r="B427" s="9">
        <f t="shared" si="12"/>
        <v>441.23463146040569</v>
      </c>
      <c r="C427" s="9">
        <f t="shared" si="13"/>
        <v>-8037.1621685395949</v>
      </c>
    </row>
    <row r="428" spans="1:3" x14ac:dyDescent="0.45">
      <c r="A428" s="8">
        <v>41.7</v>
      </c>
      <c r="B428" s="9">
        <f t="shared" si="12"/>
        <v>442.29529163218552</v>
      </c>
      <c r="C428" s="9">
        <f t="shared" si="13"/>
        <v>-8076.9601583678168</v>
      </c>
    </row>
    <row r="429" spans="1:3" x14ac:dyDescent="0.45">
      <c r="A429" s="8">
        <v>41.8</v>
      </c>
      <c r="B429" s="9">
        <f t="shared" si="12"/>
        <v>443.3559518039653</v>
      </c>
      <c r="C429" s="9">
        <f t="shared" si="13"/>
        <v>-8116.8562481960344</v>
      </c>
    </row>
    <row r="430" spans="1:3" x14ac:dyDescent="0.45">
      <c r="A430" s="8">
        <v>41.9</v>
      </c>
      <c r="B430" s="9">
        <f t="shared" si="12"/>
        <v>444.41661197574513</v>
      </c>
      <c r="C430" s="9">
        <f t="shared" si="13"/>
        <v>-8156.8504380242557</v>
      </c>
    </row>
    <row r="431" spans="1:3" x14ac:dyDescent="0.45">
      <c r="A431" s="8">
        <v>42</v>
      </c>
      <c r="B431" s="9">
        <f t="shared" si="12"/>
        <v>445.47727214752496</v>
      </c>
      <c r="C431" s="9">
        <f t="shared" si="13"/>
        <v>-8196.9427278524745</v>
      </c>
    </row>
    <row r="432" spans="1:3" x14ac:dyDescent="0.45">
      <c r="A432" s="8">
        <v>42.1</v>
      </c>
      <c r="B432" s="9">
        <f t="shared" si="12"/>
        <v>446.53793231930479</v>
      </c>
      <c r="C432" s="9">
        <f t="shared" si="13"/>
        <v>-8237.1331176806962</v>
      </c>
    </row>
    <row r="433" spans="1:3" x14ac:dyDescent="0.45">
      <c r="A433" s="8">
        <v>42.2</v>
      </c>
      <c r="B433" s="9">
        <f t="shared" si="12"/>
        <v>447.59859249108462</v>
      </c>
      <c r="C433" s="9">
        <f t="shared" si="13"/>
        <v>-8277.4216075089171</v>
      </c>
    </row>
    <row r="434" spans="1:3" x14ac:dyDescent="0.45">
      <c r="A434" s="8">
        <v>42.3</v>
      </c>
      <c r="B434" s="9">
        <f t="shared" si="12"/>
        <v>448.65925266286439</v>
      </c>
      <c r="C434" s="9">
        <f t="shared" si="13"/>
        <v>-8317.8081973371336</v>
      </c>
    </row>
    <row r="435" spans="1:3" x14ac:dyDescent="0.45">
      <c r="A435" s="8">
        <v>42.4</v>
      </c>
      <c r="B435" s="9">
        <f t="shared" si="12"/>
        <v>449.71991283464422</v>
      </c>
      <c r="C435" s="9">
        <f t="shared" si="13"/>
        <v>-8358.2928871653567</v>
      </c>
    </row>
    <row r="436" spans="1:3" x14ac:dyDescent="0.45">
      <c r="A436" s="8">
        <v>42.5</v>
      </c>
      <c r="B436" s="9">
        <f t="shared" si="12"/>
        <v>450.78057300642405</v>
      </c>
      <c r="C436" s="9">
        <f t="shared" si="13"/>
        <v>-8398.8756769935753</v>
      </c>
    </row>
    <row r="437" spans="1:3" x14ac:dyDescent="0.45">
      <c r="A437" s="8">
        <v>42.6</v>
      </c>
      <c r="B437" s="9">
        <f t="shared" si="12"/>
        <v>451.84123317820388</v>
      </c>
      <c r="C437" s="9">
        <f t="shared" si="13"/>
        <v>-8439.5565668217969</v>
      </c>
    </row>
    <row r="438" spans="1:3" x14ac:dyDescent="0.45">
      <c r="A438" s="8">
        <v>42.7</v>
      </c>
      <c r="B438" s="9">
        <f t="shared" si="12"/>
        <v>452.90189334998371</v>
      </c>
      <c r="C438" s="9">
        <f t="shared" si="13"/>
        <v>-8480.3355566500177</v>
      </c>
    </row>
    <row r="439" spans="1:3" x14ac:dyDescent="0.45">
      <c r="A439" s="8">
        <v>42.8</v>
      </c>
      <c r="B439" s="9">
        <f t="shared" si="12"/>
        <v>453.96255352176348</v>
      </c>
      <c r="C439" s="9">
        <f t="shared" si="13"/>
        <v>-8521.2126464782359</v>
      </c>
    </row>
    <row r="440" spans="1:3" x14ac:dyDescent="0.45">
      <c r="A440" s="8">
        <v>42.9</v>
      </c>
      <c r="B440" s="9">
        <f t="shared" si="12"/>
        <v>455.02321369354331</v>
      </c>
      <c r="C440" s="9">
        <f t="shared" si="13"/>
        <v>-8562.187836306457</v>
      </c>
    </row>
    <row r="441" spans="1:3" x14ac:dyDescent="0.45">
      <c r="A441" s="8">
        <v>43</v>
      </c>
      <c r="B441" s="9">
        <f t="shared" si="12"/>
        <v>456.0838738653232</v>
      </c>
      <c r="C441" s="9">
        <f t="shared" si="13"/>
        <v>-8603.2611261346774</v>
      </c>
    </row>
    <row r="442" spans="1:3" x14ac:dyDescent="0.45">
      <c r="A442" s="8">
        <v>43.1</v>
      </c>
      <c r="B442" s="9">
        <f t="shared" si="12"/>
        <v>457.14453403710303</v>
      </c>
      <c r="C442" s="9">
        <f t="shared" si="13"/>
        <v>-8644.4325159628988</v>
      </c>
    </row>
    <row r="443" spans="1:3" x14ac:dyDescent="0.45">
      <c r="A443" s="8">
        <v>43.2</v>
      </c>
      <c r="B443" s="9">
        <f t="shared" si="12"/>
        <v>458.20519420888286</v>
      </c>
      <c r="C443" s="9">
        <f t="shared" si="13"/>
        <v>-8685.7020057911195</v>
      </c>
    </row>
    <row r="444" spans="1:3" x14ac:dyDescent="0.45">
      <c r="A444" s="8">
        <v>43.3</v>
      </c>
      <c r="B444" s="9">
        <f t="shared" si="12"/>
        <v>459.26585438066263</v>
      </c>
      <c r="C444" s="9">
        <f t="shared" si="13"/>
        <v>-8727.0695956193358</v>
      </c>
    </row>
    <row r="445" spans="1:3" x14ac:dyDescent="0.45">
      <c r="A445" s="8">
        <v>43.4</v>
      </c>
      <c r="B445" s="9">
        <f t="shared" si="12"/>
        <v>460.32651455244246</v>
      </c>
      <c r="C445" s="9">
        <f t="shared" si="13"/>
        <v>-8768.5352854475586</v>
      </c>
    </row>
    <row r="446" spans="1:3" x14ac:dyDescent="0.45">
      <c r="A446" s="8">
        <v>43.5</v>
      </c>
      <c r="B446" s="9">
        <f t="shared" si="12"/>
        <v>461.38717472422229</v>
      </c>
      <c r="C446" s="9">
        <f t="shared" si="13"/>
        <v>-8810.0990752757771</v>
      </c>
    </row>
    <row r="447" spans="1:3" x14ac:dyDescent="0.45">
      <c r="A447" s="8">
        <v>43.6</v>
      </c>
      <c r="B447" s="9">
        <f t="shared" si="12"/>
        <v>462.44783489600212</v>
      </c>
      <c r="C447" s="9">
        <f t="shared" si="13"/>
        <v>-8851.7609651039984</v>
      </c>
    </row>
    <row r="448" spans="1:3" x14ac:dyDescent="0.45">
      <c r="A448" s="8">
        <v>43.7</v>
      </c>
      <c r="B448" s="9">
        <f t="shared" si="12"/>
        <v>463.50849506778195</v>
      </c>
      <c r="C448" s="9">
        <f t="shared" si="13"/>
        <v>-8893.5209549322208</v>
      </c>
    </row>
    <row r="449" spans="1:3" x14ac:dyDescent="0.45">
      <c r="A449" s="8">
        <v>43.8</v>
      </c>
      <c r="B449" s="9">
        <f t="shared" si="12"/>
        <v>464.56915523956172</v>
      </c>
      <c r="C449" s="9">
        <f t="shared" si="13"/>
        <v>-8935.379044760437</v>
      </c>
    </row>
    <row r="450" spans="1:3" x14ac:dyDescent="0.45">
      <c r="A450" s="8">
        <v>43.9</v>
      </c>
      <c r="B450" s="9">
        <f t="shared" si="12"/>
        <v>465.62981541134155</v>
      </c>
      <c r="C450" s="9">
        <f t="shared" si="13"/>
        <v>-8977.3352345886578</v>
      </c>
    </row>
    <row r="451" spans="1:3" x14ac:dyDescent="0.45">
      <c r="A451" s="8">
        <v>44</v>
      </c>
      <c r="B451" s="9">
        <f t="shared" si="12"/>
        <v>466.69047558312138</v>
      </c>
      <c r="C451" s="9">
        <f t="shared" si="13"/>
        <v>-9019.389524416878</v>
      </c>
    </row>
    <row r="452" spans="1:3" x14ac:dyDescent="0.45">
      <c r="A452" s="8">
        <v>44.1</v>
      </c>
      <c r="B452" s="9">
        <f t="shared" si="12"/>
        <v>467.75113575490121</v>
      </c>
      <c r="C452" s="9">
        <f t="shared" si="13"/>
        <v>-9061.541914245101</v>
      </c>
    </row>
    <row r="453" spans="1:3" x14ac:dyDescent="0.45">
      <c r="A453" s="8">
        <v>44.2</v>
      </c>
      <c r="B453" s="9">
        <f t="shared" si="12"/>
        <v>468.81179592668104</v>
      </c>
      <c r="C453" s="9">
        <f t="shared" si="13"/>
        <v>-9103.7924040733214</v>
      </c>
    </row>
    <row r="454" spans="1:3" x14ac:dyDescent="0.45">
      <c r="A454" s="8">
        <v>44.3</v>
      </c>
      <c r="B454" s="9">
        <f t="shared" si="12"/>
        <v>469.87245609846082</v>
      </c>
      <c r="C454" s="9">
        <f t="shared" si="13"/>
        <v>-9146.1409939015375</v>
      </c>
    </row>
    <row r="455" spans="1:3" x14ac:dyDescent="0.45">
      <c r="A455" s="8">
        <v>44.4</v>
      </c>
      <c r="B455" s="9">
        <f t="shared" si="12"/>
        <v>470.93311627024065</v>
      </c>
      <c r="C455" s="9">
        <f t="shared" si="13"/>
        <v>-9188.5876837297601</v>
      </c>
    </row>
    <row r="456" spans="1:3" x14ac:dyDescent="0.45">
      <c r="A456" s="8">
        <v>44.5</v>
      </c>
      <c r="B456" s="9">
        <f t="shared" si="12"/>
        <v>471.99377644202048</v>
      </c>
      <c r="C456" s="9">
        <f t="shared" si="13"/>
        <v>-9231.1324735579801</v>
      </c>
    </row>
    <row r="457" spans="1:3" x14ac:dyDescent="0.45">
      <c r="A457" s="8">
        <v>44.6</v>
      </c>
      <c r="B457" s="9">
        <f t="shared" si="12"/>
        <v>473.05443661380031</v>
      </c>
      <c r="C457" s="9">
        <f t="shared" si="13"/>
        <v>-9273.7753633862012</v>
      </c>
    </row>
    <row r="458" spans="1:3" x14ac:dyDescent="0.45">
      <c r="A458" s="8">
        <v>44.7</v>
      </c>
      <c r="B458" s="9">
        <f t="shared" si="12"/>
        <v>474.11509678558014</v>
      </c>
      <c r="C458" s="9">
        <f t="shared" si="13"/>
        <v>-9316.5163532144215</v>
      </c>
    </row>
    <row r="459" spans="1:3" x14ac:dyDescent="0.45">
      <c r="A459" s="8">
        <v>44.8</v>
      </c>
      <c r="B459" s="9">
        <f t="shared" si="12"/>
        <v>475.17575695735991</v>
      </c>
      <c r="C459" s="9">
        <f t="shared" si="13"/>
        <v>-9359.3554430426393</v>
      </c>
    </row>
    <row r="460" spans="1:3" x14ac:dyDescent="0.45">
      <c r="A460" s="8">
        <v>44.9</v>
      </c>
      <c r="B460" s="9">
        <f t="shared" ref="B460:B523" si="14">A460*$F$1</f>
        <v>476.23641712913974</v>
      </c>
      <c r="C460" s="9">
        <f t="shared" ref="C460:C523" si="15">$F$2*A460+(0.5*$B$5*A460^2)+$B$4</f>
        <v>-9402.29263287086</v>
      </c>
    </row>
    <row r="461" spans="1:3" x14ac:dyDescent="0.45">
      <c r="A461" s="8">
        <v>45</v>
      </c>
      <c r="B461" s="9">
        <f t="shared" si="14"/>
        <v>477.29707730091957</v>
      </c>
      <c r="C461" s="9">
        <f t="shared" si="15"/>
        <v>-9445.3279226990799</v>
      </c>
    </row>
    <row r="462" spans="1:3" x14ac:dyDescent="0.45">
      <c r="A462" s="8">
        <v>45.1</v>
      </c>
      <c r="B462" s="9">
        <f t="shared" si="14"/>
        <v>478.35773747269945</v>
      </c>
      <c r="C462" s="9">
        <f t="shared" si="15"/>
        <v>-9488.4613125273027</v>
      </c>
    </row>
    <row r="463" spans="1:3" x14ac:dyDescent="0.45">
      <c r="A463" s="8">
        <v>45.2</v>
      </c>
      <c r="B463" s="9">
        <f t="shared" si="14"/>
        <v>479.41839764447928</v>
      </c>
      <c r="C463" s="9">
        <f t="shared" si="15"/>
        <v>-9531.6928023555229</v>
      </c>
    </row>
    <row r="464" spans="1:3" x14ac:dyDescent="0.45">
      <c r="A464" s="8">
        <v>45.3</v>
      </c>
      <c r="B464" s="9">
        <f t="shared" si="14"/>
        <v>480.47905781625906</v>
      </c>
      <c r="C464" s="9">
        <f t="shared" si="15"/>
        <v>-9575.0223921837405</v>
      </c>
    </row>
    <row r="465" spans="1:3" x14ac:dyDescent="0.45">
      <c r="A465" s="8">
        <v>45.4</v>
      </c>
      <c r="B465" s="9">
        <f t="shared" si="14"/>
        <v>481.53971798803889</v>
      </c>
      <c r="C465" s="9">
        <f t="shared" si="15"/>
        <v>-9618.4500820119611</v>
      </c>
    </row>
    <row r="466" spans="1:3" x14ac:dyDescent="0.45">
      <c r="A466" s="8">
        <v>45.5</v>
      </c>
      <c r="B466" s="9">
        <f t="shared" si="14"/>
        <v>482.60037815981872</v>
      </c>
      <c r="C466" s="9">
        <f t="shared" si="15"/>
        <v>-9661.9758718401808</v>
      </c>
    </row>
    <row r="467" spans="1:3" x14ac:dyDescent="0.45">
      <c r="A467" s="8">
        <v>45.6</v>
      </c>
      <c r="B467" s="9">
        <f t="shared" si="14"/>
        <v>483.66103833159855</v>
      </c>
      <c r="C467" s="9">
        <f t="shared" si="15"/>
        <v>-9705.5997616684035</v>
      </c>
    </row>
    <row r="468" spans="1:3" x14ac:dyDescent="0.45">
      <c r="A468" s="8">
        <v>45.7</v>
      </c>
      <c r="B468" s="9">
        <f t="shared" si="14"/>
        <v>484.72169850337838</v>
      </c>
      <c r="C468" s="9">
        <f t="shared" si="15"/>
        <v>-9749.3217514966236</v>
      </c>
    </row>
    <row r="469" spans="1:3" x14ac:dyDescent="0.45">
      <c r="A469" s="8">
        <v>45.8</v>
      </c>
      <c r="B469" s="9">
        <f t="shared" si="14"/>
        <v>485.78235867515815</v>
      </c>
      <c r="C469" s="9">
        <f t="shared" si="15"/>
        <v>-9793.1418413248412</v>
      </c>
    </row>
    <row r="470" spans="1:3" x14ac:dyDescent="0.45">
      <c r="A470" s="8">
        <v>45.9</v>
      </c>
      <c r="B470" s="9">
        <f t="shared" si="14"/>
        <v>486.84301884693798</v>
      </c>
      <c r="C470" s="9">
        <f t="shared" si="15"/>
        <v>-9837.0600311530634</v>
      </c>
    </row>
    <row r="471" spans="1:3" x14ac:dyDescent="0.45">
      <c r="A471" s="8">
        <v>46</v>
      </c>
      <c r="B471" s="9">
        <f t="shared" si="14"/>
        <v>487.90367901871781</v>
      </c>
      <c r="C471" s="9">
        <f t="shared" si="15"/>
        <v>-9881.0763209812831</v>
      </c>
    </row>
    <row r="472" spans="1:3" x14ac:dyDescent="0.45">
      <c r="A472" s="8">
        <v>46.1</v>
      </c>
      <c r="B472" s="9">
        <f t="shared" si="14"/>
        <v>488.96433919049764</v>
      </c>
      <c r="C472" s="9">
        <f t="shared" si="15"/>
        <v>-9925.1907108095038</v>
      </c>
    </row>
    <row r="473" spans="1:3" x14ac:dyDescent="0.45">
      <c r="A473" s="8">
        <v>46.2</v>
      </c>
      <c r="B473" s="9">
        <f t="shared" si="14"/>
        <v>490.02499936227747</v>
      </c>
      <c r="C473" s="9">
        <f t="shared" si="15"/>
        <v>-9969.4032006377238</v>
      </c>
    </row>
    <row r="474" spans="1:3" x14ac:dyDescent="0.45">
      <c r="A474" s="8">
        <v>46.3</v>
      </c>
      <c r="B474" s="9">
        <f t="shared" si="14"/>
        <v>491.08565953405724</v>
      </c>
      <c r="C474" s="9">
        <f t="shared" si="15"/>
        <v>-10013.713790465941</v>
      </c>
    </row>
    <row r="475" spans="1:3" x14ac:dyDescent="0.45">
      <c r="A475" s="8">
        <v>46.4</v>
      </c>
      <c r="B475" s="9">
        <f t="shared" si="14"/>
        <v>492.14631970583707</v>
      </c>
      <c r="C475" s="9">
        <f t="shared" si="15"/>
        <v>-10058.122480294163</v>
      </c>
    </row>
    <row r="476" spans="1:3" x14ac:dyDescent="0.45">
      <c r="A476" s="8">
        <v>46.5</v>
      </c>
      <c r="B476" s="9">
        <f t="shared" si="14"/>
        <v>493.2069798776169</v>
      </c>
      <c r="C476" s="9">
        <f t="shared" si="15"/>
        <v>-10102.629270122383</v>
      </c>
    </row>
    <row r="477" spans="1:3" x14ac:dyDescent="0.45">
      <c r="A477" s="8">
        <v>46.6</v>
      </c>
      <c r="B477" s="9">
        <f t="shared" si="14"/>
        <v>494.26764004939673</v>
      </c>
      <c r="C477" s="9">
        <f t="shared" si="15"/>
        <v>-10147.234159950603</v>
      </c>
    </row>
    <row r="478" spans="1:3" x14ac:dyDescent="0.45">
      <c r="A478" s="8">
        <v>46.7</v>
      </c>
      <c r="B478" s="9">
        <f t="shared" si="14"/>
        <v>495.32830022117656</v>
      </c>
      <c r="C478" s="9">
        <f t="shared" si="15"/>
        <v>-10191.937149778827</v>
      </c>
    </row>
    <row r="479" spans="1:3" x14ac:dyDescent="0.45">
      <c r="A479" s="8">
        <v>46.8</v>
      </c>
      <c r="B479" s="9">
        <f t="shared" si="14"/>
        <v>496.38896039295633</v>
      </c>
      <c r="C479" s="9">
        <f t="shared" si="15"/>
        <v>-10236.738239607042</v>
      </c>
    </row>
    <row r="480" spans="1:3" x14ac:dyDescent="0.45">
      <c r="A480" s="8">
        <v>46.9</v>
      </c>
      <c r="B480" s="9">
        <f t="shared" si="14"/>
        <v>497.44962056473616</v>
      </c>
      <c r="C480" s="9">
        <f t="shared" si="15"/>
        <v>-10281.637429435263</v>
      </c>
    </row>
    <row r="481" spans="1:3" x14ac:dyDescent="0.45">
      <c r="A481" s="8">
        <v>47</v>
      </c>
      <c r="B481" s="9">
        <f t="shared" si="14"/>
        <v>498.51028073651605</v>
      </c>
      <c r="C481" s="9">
        <f t="shared" si="15"/>
        <v>-10326.634719263484</v>
      </c>
    </row>
    <row r="482" spans="1:3" x14ac:dyDescent="0.45">
      <c r="A482" s="8">
        <v>47.1</v>
      </c>
      <c r="B482" s="9">
        <f t="shared" si="14"/>
        <v>499.57094090829588</v>
      </c>
      <c r="C482" s="9">
        <f t="shared" si="15"/>
        <v>-10371.730109091706</v>
      </c>
    </row>
    <row r="483" spans="1:3" x14ac:dyDescent="0.45">
      <c r="A483" s="8">
        <v>47.2</v>
      </c>
      <c r="B483" s="9">
        <f t="shared" si="14"/>
        <v>500.63160108007571</v>
      </c>
      <c r="C483" s="9">
        <f t="shared" si="15"/>
        <v>-10416.923598919926</v>
      </c>
    </row>
    <row r="484" spans="1:3" x14ac:dyDescent="0.45">
      <c r="A484" s="8">
        <v>47.3</v>
      </c>
      <c r="B484" s="9">
        <f t="shared" si="14"/>
        <v>501.69226125185548</v>
      </c>
      <c r="C484" s="9">
        <f t="shared" si="15"/>
        <v>-10462.215188748143</v>
      </c>
    </row>
    <row r="485" spans="1:3" x14ac:dyDescent="0.45">
      <c r="A485" s="8">
        <v>47.4</v>
      </c>
      <c r="B485" s="9">
        <f t="shared" si="14"/>
        <v>502.75292142363531</v>
      </c>
      <c r="C485" s="9">
        <f t="shared" si="15"/>
        <v>-10507.604878576365</v>
      </c>
    </row>
    <row r="486" spans="1:3" x14ac:dyDescent="0.45">
      <c r="A486" s="8">
        <v>47.5</v>
      </c>
      <c r="B486" s="9">
        <f t="shared" si="14"/>
        <v>503.81358159541514</v>
      </c>
      <c r="C486" s="9">
        <f t="shared" si="15"/>
        <v>-10553.092668404584</v>
      </c>
    </row>
    <row r="487" spans="1:3" x14ac:dyDescent="0.45">
      <c r="A487" s="8">
        <v>47.6</v>
      </c>
      <c r="B487" s="9">
        <f t="shared" si="14"/>
        <v>504.87424176719497</v>
      </c>
      <c r="C487" s="9">
        <f t="shared" si="15"/>
        <v>-10598.678558232807</v>
      </c>
    </row>
    <row r="488" spans="1:3" x14ac:dyDescent="0.45">
      <c r="A488" s="8">
        <v>47.7</v>
      </c>
      <c r="B488" s="9">
        <f t="shared" si="14"/>
        <v>505.9349019389748</v>
      </c>
      <c r="C488" s="9">
        <f t="shared" si="15"/>
        <v>-10644.362548061028</v>
      </c>
    </row>
    <row r="489" spans="1:3" x14ac:dyDescent="0.45">
      <c r="A489" s="8">
        <v>47.8</v>
      </c>
      <c r="B489" s="9">
        <f t="shared" si="14"/>
        <v>506.99556211075458</v>
      </c>
      <c r="C489" s="9">
        <f t="shared" si="15"/>
        <v>-10690.144637889245</v>
      </c>
    </row>
    <row r="490" spans="1:3" x14ac:dyDescent="0.45">
      <c r="A490" s="8">
        <v>47.9</v>
      </c>
      <c r="B490" s="9">
        <f t="shared" si="14"/>
        <v>508.05622228253441</v>
      </c>
      <c r="C490" s="9">
        <f t="shared" si="15"/>
        <v>-10736.024827717467</v>
      </c>
    </row>
    <row r="491" spans="1:3" x14ac:dyDescent="0.45">
      <c r="A491" s="8">
        <v>48</v>
      </c>
      <c r="B491" s="9">
        <f t="shared" si="14"/>
        <v>509.11688245431424</v>
      </c>
      <c r="C491" s="9">
        <f t="shared" si="15"/>
        <v>-10782.003117545686</v>
      </c>
    </row>
    <row r="492" spans="1:3" x14ac:dyDescent="0.45">
      <c r="A492" s="8">
        <v>48.1</v>
      </c>
      <c r="B492" s="9">
        <f t="shared" si="14"/>
        <v>510.17754262609407</v>
      </c>
      <c r="C492" s="9">
        <f t="shared" si="15"/>
        <v>-10828.079507373908</v>
      </c>
    </row>
    <row r="493" spans="1:3" x14ac:dyDescent="0.45">
      <c r="A493" s="8">
        <v>48.2</v>
      </c>
      <c r="B493" s="9">
        <f t="shared" si="14"/>
        <v>511.2382027978739</v>
      </c>
      <c r="C493" s="9">
        <f t="shared" si="15"/>
        <v>-10874.253997202128</v>
      </c>
    </row>
    <row r="494" spans="1:3" x14ac:dyDescent="0.45">
      <c r="A494" s="8">
        <v>48.3</v>
      </c>
      <c r="B494" s="9">
        <f t="shared" si="14"/>
        <v>512.29886296965367</v>
      </c>
      <c r="C494" s="9">
        <f t="shared" si="15"/>
        <v>-10920.526587030346</v>
      </c>
    </row>
    <row r="495" spans="1:3" x14ac:dyDescent="0.45">
      <c r="A495" s="8">
        <v>48.4</v>
      </c>
      <c r="B495" s="9">
        <f t="shared" si="14"/>
        <v>513.35952314143356</v>
      </c>
      <c r="C495" s="9">
        <f t="shared" si="15"/>
        <v>-10966.897276858568</v>
      </c>
    </row>
    <row r="496" spans="1:3" x14ac:dyDescent="0.45">
      <c r="A496" s="8">
        <v>48.5</v>
      </c>
      <c r="B496" s="9">
        <f t="shared" si="14"/>
        <v>514.42018331321333</v>
      </c>
      <c r="C496" s="9">
        <f t="shared" si="15"/>
        <v>-11013.366066686787</v>
      </c>
    </row>
    <row r="497" spans="1:3" x14ac:dyDescent="0.45">
      <c r="A497" s="8">
        <v>48.6</v>
      </c>
      <c r="B497" s="9">
        <f t="shared" si="14"/>
        <v>515.48084348499322</v>
      </c>
      <c r="C497" s="9">
        <f t="shared" si="15"/>
        <v>-11059.932956515007</v>
      </c>
    </row>
    <row r="498" spans="1:3" x14ac:dyDescent="0.45">
      <c r="A498" s="8">
        <v>48.7</v>
      </c>
      <c r="B498" s="9">
        <f t="shared" si="14"/>
        <v>516.54150365677299</v>
      </c>
      <c r="C498" s="9">
        <f t="shared" si="15"/>
        <v>-11106.597946343227</v>
      </c>
    </row>
    <row r="499" spans="1:3" x14ac:dyDescent="0.45">
      <c r="A499" s="8">
        <v>48.8</v>
      </c>
      <c r="B499" s="9">
        <f t="shared" si="14"/>
        <v>517.60216382855276</v>
      </c>
      <c r="C499" s="9">
        <f t="shared" si="15"/>
        <v>-11153.361036171445</v>
      </c>
    </row>
    <row r="500" spans="1:3" x14ac:dyDescent="0.45">
      <c r="A500" s="8">
        <v>48.9</v>
      </c>
      <c r="B500" s="9">
        <f t="shared" si="14"/>
        <v>518.66282400033265</v>
      </c>
      <c r="C500" s="9">
        <f t="shared" si="15"/>
        <v>-11200.222225999669</v>
      </c>
    </row>
    <row r="501" spans="1:3" x14ac:dyDescent="0.45">
      <c r="A501" s="8">
        <v>49</v>
      </c>
      <c r="B501" s="9">
        <f t="shared" si="14"/>
        <v>519.72348417211242</v>
      </c>
      <c r="C501" s="9">
        <f t="shared" si="15"/>
        <v>-11247.181515827888</v>
      </c>
    </row>
    <row r="502" spans="1:3" x14ac:dyDescent="0.45">
      <c r="A502" s="8">
        <v>49.1</v>
      </c>
      <c r="B502" s="9">
        <f t="shared" si="14"/>
        <v>520.78414434389231</v>
      </c>
      <c r="C502" s="9">
        <f t="shared" si="15"/>
        <v>-11294.238905656108</v>
      </c>
    </row>
    <row r="503" spans="1:3" x14ac:dyDescent="0.45">
      <c r="A503" s="8">
        <v>49.2</v>
      </c>
      <c r="B503" s="9">
        <f t="shared" si="14"/>
        <v>521.84480451567208</v>
      </c>
      <c r="C503" s="9">
        <f t="shared" si="15"/>
        <v>-11341.394395484329</v>
      </c>
    </row>
    <row r="504" spans="1:3" x14ac:dyDescent="0.45">
      <c r="A504" s="8">
        <v>49.3</v>
      </c>
      <c r="B504" s="9">
        <f t="shared" si="14"/>
        <v>522.90546468745185</v>
      </c>
      <c r="C504" s="9">
        <f t="shared" si="15"/>
        <v>-11388.647985312547</v>
      </c>
    </row>
    <row r="505" spans="1:3" x14ac:dyDescent="0.45">
      <c r="A505" s="8">
        <v>49.4</v>
      </c>
      <c r="B505" s="9">
        <f t="shared" si="14"/>
        <v>523.96612485923174</v>
      </c>
      <c r="C505" s="9">
        <f t="shared" si="15"/>
        <v>-11435.999675140767</v>
      </c>
    </row>
    <row r="506" spans="1:3" x14ac:dyDescent="0.45">
      <c r="A506" s="8">
        <v>49.5</v>
      </c>
      <c r="B506" s="9">
        <f t="shared" si="14"/>
        <v>525.02678503101151</v>
      </c>
      <c r="C506" s="9">
        <f t="shared" si="15"/>
        <v>-11483.449464968988</v>
      </c>
    </row>
    <row r="507" spans="1:3" x14ac:dyDescent="0.45">
      <c r="A507" s="8">
        <v>49.6</v>
      </c>
      <c r="B507" s="9">
        <f t="shared" si="14"/>
        <v>526.0874452027914</v>
      </c>
      <c r="C507" s="9">
        <f t="shared" si="15"/>
        <v>-11530.997354797211</v>
      </c>
    </row>
    <row r="508" spans="1:3" x14ac:dyDescent="0.45">
      <c r="A508" s="8">
        <v>49.7</v>
      </c>
      <c r="B508" s="9">
        <f t="shared" si="14"/>
        <v>527.14810537457117</v>
      </c>
      <c r="C508" s="9">
        <f t="shared" si="15"/>
        <v>-11578.643344625429</v>
      </c>
    </row>
    <row r="509" spans="1:3" x14ac:dyDescent="0.45">
      <c r="A509" s="8">
        <v>49.8</v>
      </c>
      <c r="B509" s="9">
        <f t="shared" si="14"/>
        <v>528.20876554635095</v>
      </c>
      <c r="C509" s="9">
        <f t="shared" si="15"/>
        <v>-11626.387434453647</v>
      </c>
    </row>
    <row r="510" spans="1:3" x14ac:dyDescent="0.45">
      <c r="A510" s="8">
        <v>49.9</v>
      </c>
      <c r="B510" s="9">
        <f t="shared" si="14"/>
        <v>529.26942571813083</v>
      </c>
      <c r="C510" s="9">
        <f t="shared" si="15"/>
        <v>-11674.22962428187</v>
      </c>
    </row>
    <row r="511" spans="1:3" x14ac:dyDescent="0.45">
      <c r="A511" s="8">
        <v>50</v>
      </c>
      <c r="B511" s="9">
        <f t="shared" si="14"/>
        <v>530.33008588991061</v>
      </c>
      <c r="C511" s="9">
        <f t="shared" si="15"/>
        <v>-11722.169914110089</v>
      </c>
    </row>
    <row r="512" spans="1:3" x14ac:dyDescent="0.45">
      <c r="A512" s="8">
        <v>50.1</v>
      </c>
      <c r="B512" s="9">
        <f t="shared" si="14"/>
        <v>531.39074606169049</v>
      </c>
      <c r="C512" s="9">
        <f t="shared" si="15"/>
        <v>-11770.208303938312</v>
      </c>
    </row>
    <row r="513" spans="1:3" x14ac:dyDescent="0.45">
      <c r="A513" s="8">
        <v>50.2</v>
      </c>
      <c r="B513" s="9">
        <f t="shared" si="14"/>
        <v>532.45140623347038</v>
      </c>
      <c r="C513" s="9">
        <f t="shared" si="15"/>
        <v>-11818.344793766531</v>
      </c>
    </row>
    <row r="514" spans="1:3" x14ac:dyDescent="0.45">
      <c r="A514" s="8">
        <v>50.3</v>
      </c>
      <c r="B514" s="9">
        <f t="shared" si="14"/>
        <v>533.51206640525015</v>
      </c>
      <c r="C514" s="9">
        <f t="shared" si="15"/>
        <v>-11866.57938359475</v>
      </c>
    </row>
    <row r="515" spans="1:3" x14ac:dyDescent="0.45">
      <c r="A515" s="8">
        <v>50.4</v>
      </c>
      <c r="B515" s="9">
        <f t="shared" si="14"/>
        <v>534.57272657702993</v>
      </c>
      <c r="C515" s="9">
        <f t="shared" si="15"/>
        <v>-11914.912073422971</v>
      </c>
    </row>
    <row r="516" spans="1:3" x14ac:dyDescent="0.45">
      <c r="A516" s="8">
        <v>50.5</v>
      </c>
      <c r="B516" s="9">
        <f t="shared" si="14"/>
        <v>535.63338674880981</v>
      </c>
      <c r="C516" s="9">
        <f t="shared" si="15"/>
        <v>-11963.342863251191</v>
      </c>
    </row>
    <row r="517" spans="1:3" x14ac:dyDescent="0.45">
      <c r="A517" s="8">
        <v>50.6</v>
      </c>
      <c r="B517" s="9">
        <f t="shared" si="14"/>
        <v>536.69404692058959</v>
      </c>
      <c r="C517" s="9">
        <f t="shared" si="15"/>
        <v>-12011.871753079413</v>
      </c>
    </row>
    <row r="518" spans="1:3" x14ac:dyDescent="0.45">
      <c r="A518" s="8">
        <v>50.7</v>
      </c>
      <c r="B518" s="9">
        <f t="shared" si="14"/>
        <v>537.75470709236947</v>
      </c>
      <c r="C518" s="9">
        <f t="shared" si="15"/>
        <v>-12060.498742907632</v>
      </c>
    </row>
    <row r="519" spans="1:3" x14ac:dyDescent="0.45">
      <c r="A519" s="8">
        <v>50.8</v>
      </c>
      <c r="B519" s="9">
        <f t="shared" si="14"/>
        <v>538.81536726414924</v>
      </c>
      <c r="C519" s="9">
        <f t="shared" si="15"/>
        <v>-12109.22383273585</v>
      </c>
    </row>
    <row r="520" spans="1:3" x14ac:dyDescent="0.45">
      <c r="A520" s="8">
        <v>50.9</v>
      </c>
      <c r="B520" s="9">
        <f t="shared" si="14"/>
        <v>539.87602743592902</v>
      </c>
      <c r="C520" s="9">
        <f t="shared" si="15"/>
        <v>-12158.047022564073</v>
      </c>
    </row>
    <row r="521" spans="1:3" x14ac:dyDescent="0.45">
      <c r="A521" s="8">
        <v>51</v>
      </c>
      <c r="B521" s="9">
        <f t="shared" si="14"/>
        <v>540.9366876077089</v>
      </c>
      <c r="C521" s="9">
        <f t="shared" si="15"/>
        <v>-12206.968312392291</v>
      </c>
    </row>
    <row r="522" spans="1:3" x14ac:dyDescent="0.45">
      <c r="A522" s="8">
        <v>51.1</v>
      </c>
      <c r="B522" s="9">
        <f t="shared" si="14"/>
        <v>541.99734777948868</v>
      </c>
      <c r="C522" s="9">
        <f t="shared" si="15"/>
        <v>-12255.987702220513</v>
      </c>
    </row>
    <row r="523" spans="1:3" x14ac:dyDescent="0.45">
      <c r="A523" s="8">
        <v>51.2</v>
      </c>
      <c r="B523" s="9">
        <f t="shared" si="14"/>
        <v>543.05800795126856</v>
      </c>
      <c r="C523" s="9">
        <f t="shared" si="15"/>
        <v>-12305.105192048733</v>
      </c>
    </row>
    <row r="524" spans="1:3" x14ac:dyDescent="0.45">
      <c r="A524" s="8">
        <v>51.3</v>
      </c>
      <c r="B524" s="9">
        <f t="shared" ref="B524:B587" si="16">A524*$F$1</f>
        <v>544.11866812304834</v>
      </c>
      <c r="C524" s="9">
        <f t="shared" ref="C524:C587" si="17">$F$2*A524+(0.5*$B$5*A524^2)+$B$4</f>
        <v>-12354.32078187695</v>
      </c>
    </row>
    <row r="525" spans="1:3" x14ac:dyDescent="0.45">
      <c r="A525" s="8">
        <v>51.4</v>
      </c>
      <c r="B525" s="9">
        <f t="shared" si="16"/>
        <v>545.17932829482811</v>
      </c>
      <c r="C525" s="9">
        <f t="shared" si="17"/>
        <v>-12403.634471705174</v>
      </c>
    </row>
    <row r="526" spans="1:3" x14ac:dyDescent="0.45">
      <c r="A526" s="8">
        <v>51.5</v>
      </c>
      <c r="B526" s="9">
        <f t="shared" si="16"/>
        <v>546.239988466608</v>
      </c>
      <c r="C526" s="9">
        <f t="shared" si="17"/>
        <v>-12453.046261533393</v>
      </c>
    </row>
    <row r="527" spans="1:3" x14ac:dyDescent="0.45">
      <c r="A527" s="8">
        <v>51.6</v>
      </c>
      <c r="B527" s="9">
        <f t="shared" si="16"/>
        <v>547.30064863838777</v>
      </c>
      <c r="C527" s="9">
        <f t="shared" si="17"/>
        <v>-12502.556151361612</v>
      </c>
    </row>
    <row r="528" spans="1:3" x14ac:dyDescent="0.45">
      <c r="A528" s="8">
        <v>51.7</v>
      </c>
      <c r="B528" s="9">
        <f t="shared" si="16"/>
        <v>548.36130881016766</v>
      </c>
      <c r="C528" s="9">
        <f t="shared" si="17"/>
        <v>-12552.164141189834</v>
      </c>
    </row>
    <row r="529" spans="1:3" x14ac:dyDescent="0.45">
      <c r="A529" s="8">
        <v>51.8</v>
      </c>
      <c r="B529" s="9">
        <f t="shared" si="16"/>
        <v>549.42196898194743</v>
      </c>
      <c r="C529" s="9">
        <f t="shared" si="17"/>
        <v>-12601.870231018052</v>
      </c>
    </row>
    <row r="530" spans="1:3" x14ac:dyDescent="0.45">
      <c r="A530" s="8">
        <v>51.9</v>
      </c>
      <c r="B530" s="9">
        <f t="shared" si="16"/>
        <v>550.4826291537272</v>
      </c>
      <c r="C530" s="9">
        <f t="shared" si="17"/>
        <v>-12651.674420846273</v>
      </c>
    </row>
    <row r="531" spans="1:3" x14ac:dyDescent="0.45">
      <c r="A531" s="8">
        <v>52</v>
      </c>
      <c r="B531" s="9">
        <f t="shared" si="16"/>
        <v>551.54328932550709</v>
      </c>
      <c r="C531" s="9">
        <f t="shared" si="17"/>
        <v>-12701.576710674493</v>
      </c>
    </row>
    <row r="532" spans="1:3" x14ac:dyDescent="0.45">
      <c r="A532" s="8">
        <v>52.1</v>
      </c>
      <c r="B532" s="9">
        <f t="shared" si="16"/>
        <v>552.60394949728698</v>
      </c>
      <c r="C532" s="9">
        <f t="shared" si="17"/>
        <v>-12751.577100502716</v>
      </c>
    </row>
    <row r="533" spans="1:3" x14ac:dyDescent="0.45">
      <c r="A533" s="8">
        <v>52.2</v>
      </c>
      <c r="B533" s="9">
        <f t="shared" si="16"/>
        <v>553.66460966906675</v>
      </c>
      <c r="C533" s="9">
        <f t="shared" si="17"/>
        <v>-12801.675590330933</v>
      </c>
    </row>
    <row r="534" spans="1:3" x14ac:dyDescent="0.45">
      <c r="A534" s="8">
        <v>52.3</v>
      </c>
      <c r="B534" s="9">
        <f t="shared" si="16"/>
        <v>554.72526984084652</v>
      </c>
      <c r="C534" s="9">
        <f t="shared" si="17"/>
        <v>-12851.872180159151</v>
      </c>
    </row>
    <row r="535" spans="1:3" x14ac:dyDescent="0.45">
      <c r="A535" s="8">
        <v>52.4</v>
      </c>
      <c r="B535" s="9">
        <f t="shared" si="16"/>
        <v>555.78593001262641</v>
      </c>
      <c r="C535" s="9">
        <f t="shared" si="17"/>
        <v>-12902.166869987374</v>
      </c>
    </row>
    <row r="536" spans="1:3" x14ac:dyDescent="0.45">
      <c r="A536" s="8">
        <v>52.5</v>
      </c>
      <c r="B536" s="9">
        <f t="shared" si="16"/>
        <v>556.84659018440618</v>
      </c>
      <c r="C536" s="9">
        <f t="shared" si="17"/>
        <v>-12952.559659815593</v>
      </c>
    </row>
    <row r="537" spans="1:3" x14ac:dyDescent="0.45">
      <c r="A537" s="8">
        <v>52.6</v>
      </c>
      <c r="B537" s="9">
        <f t="shared" si="16"/>
        <v>557.90725035618607</v>
      </c>
      <c r="C537" s="9">
        <f t="shared" si="17"/>
        <v>-13003.050549643816</v>
      </c>
    </row>
    <row r="538" spans="1:3" x14ac:dyDescent="0.45">
      <c r="A538" s="8">
        <v>52.7</v>
      </c>
      <c r="B538" s="9">
        <f t="shared" si="16"/>
        <v>558.96791052796584</v>
      </c>
      <c r="C538" s="9">
        <f t="shared" si="17"/>
        <v>-13053.639539472037</v>
      </c>
    </row>
    <row r="539" spans="1:3" x14ac:dyDescent="0.45">
      <c r="A539" s="8">
        <v>52.8</v>
      </c>
      <c r="B539" s="9">
        <f t="shared" si="16"/>
        <v>560.02857069974561</v>
      </c>
      <c r="C539" s="9">
        <f t="shared" si="17"/>
        <v>-13104.326629300254</v>
      </c>
    </row>
    <row r="540" spans="1:3" x14ac:dyDescent="0.45">
      <c r="A540" s="8">
        <v>52.9</v>
      </c>
      <c r="B540" s="9">
        <f t="shared" si="16"/>
        <v>561.0892308715255</v>
      </c>
      <c r="C540" s="9">
        <f t="shared" si="17"/>
        <v>-13155.111819128475</v>
      </c>
    </row>
    <row r="541" spans="1:3" x14ac:dyDescent="0.45">
      <c r="A541" s="8">
        <v>53</v>
      </c>
      <c r="B541" s="9">
        <f t="shared" si="16"/>
        <v>562.14989104330527</v>
      </c>
      <c r="C541" s="9">
        <f t="shared" si="17"/>
        <v>-13205.995108956695</v>
      </c>
    </row>
    <row r="542" spans="1:3" x14ac:dyDescent="0.45">
      <c r="A542" s="8">
        <v>53.1</v>
      </c>
      <c r="B542" s="9">
        <f t="shared" si="16"/>
        <v>563.21055121508516</v>
      </c>
      <c r="C542" s="9">
        <f t="shared" si="17"/>
        <v>-13256.976498784916</v>
      </c>
    </row>
    <row r="543" spans="1:3" x14ac:dyDescent="0.45">
      <c r="A543" s="8">
        <v>53.2</v>
      </c>
      <c r="B543" s="9">
        <f t="shared" si="16"/>
        <v>564.27121138686493</v>
      </c>
      <c r="C543" s="9">
        <f t="shared" si="17"/>
        <v>-13308.055988613136</v>
      </c>
    </row>
    <row r="544" spans="1:3" x14ac:dyDescent="0.45">
      <c r="A544" s="8">
        <v>53.3</v>
      </c>
      <c r="B544" s="9">
        <f t="shared" si="16"/>
        <v>565.33187155864471</v>
      </c>
      <c r="C544" s="9">
        <f t="shared" si="17"/>
        <v>-13359.233578441355</v>
      </c>
    </row>
    <row r="545" spans="1:3" x14ac:dyDescent="0.45">
      <c r="A545" s="8">
        <v>53.4</v>
      </c>
      <c r="B545" s="9">
        <f t="shared" si="16"/>
        <v>566.39253173042459</v>
      </c>
      <c r="C545" s="9">
        <f t="shared" si="17"/>
        <v>-13410.509268269576</v>
      </c>
    </row>
    <row r="546" spans="1:3" x14ac:dyDescent="0.45">
      <c r="A546" s="8">
        <v>53.5</v>
      </c>
      <c r="B546" s="9">
        <f t="shared" si="16"/>
        <v>567.45319190220437</v>
      </c>
      <c r="C546" s="9">
        <f t="shared" si="17"/>
        <v>-13461.883058097796</v>
      </c>
    </row>
    <row r="547" spans="1:3" x14ac:dyDescent="0.45">
      <c r="A547" s="8">
        <v>53.6</v>
      </c>
      <c r="B547" s="9">
        <f t="shared" si="16"/>
        <v>568.51385207398425</v>
      </c>
      <c r="C547" s="9">
        <f t="shared" si="17"/>
        <v>-13513.354947926016</v>
      </c>
    </row>
    <row r="548" spans="1:3" x14ac:dyDescent="0.45">
      <c r="A548" s="8">
        <v>53.7</v>
      </c>
      <c r="B548" s="9">
        <f t="shared" si="16"/>
        <v>569.57451224576403</v>
      </c>
      <c r="C548" s="9">
        <f t="shared" si="17"/>
        <v>-13564.924937754238</v>
      </c>
    </row>
    <row r="549" spans="1:3" x14ac:dyDescent="0.45">
      <c r="A549" s="8">
        <v>53.8</v>
      </c>
      <c r="B549" s="9">
        <f t="shared" si="16"/>
        <v>570.6351724175438</v>
      </c>
      <c r="C549" s="9">
        <f t="shared" si="17"/>
        <v>-13616.593027582456</v>
      </c>
    </row>
    <row r="550" spans="1:3" x14ac:dyDescent="0.45">
      <c r="A550" s="8">
        <v>53.9</v>
      </c>
      <c r="B550" s="9">
        <f t="shared" si="16"/>
        <v>571.69583258932369</v>
      </c>
      <c r="C550" s="9">
        <f t="shared" si="17"/>
        <v>-13668.359217410678</v>
      </c>
    </row>
    <row r="551" spans="1:3" x14ac:dyDescent="0.45">
      <c r="A551" s="8">
        <v>54</v>
      </c>
      <c r="B551" s="9">
        <f t="shared" si="16"/>
        <v>572.75649276110357</v>
      </c>
      <c r="C551" s="9">
        <f t="shared" si="17"/>
        <v>-13720.223507238898</v>
      </c>
    </row>
    <row r="552" spans="1:3" x14ac:dyDescent="0.45">
      <c r="A552" s="8">
        <v>54.1</v>
      </c>
      <c r="B552" s="9">
        <f t="shared" si="16"/>
        <v>573.81715293288335</v>
      </c>
      <c r="C552" s="9">
        <f t="shared" si="17"/>
        <v>-13772.185897067118</v>
      </c>
    </row>
    <row r="553" spans="1:3" x14ac:dyDescent="0.45">
      <c r="A553" s="8">
        <v>54.2</v>
      </c>
      <c r="B553" s="9">
        <f t="shared" si="16"/>
        <v>574.87781310466323</v>
      </c>
      <c r="C553" s="9">
        <f t="shared" si="17"/>
        <v>-13824.246386895338</v>
      </c>
    </row>
    <row r="554" spans="1:3" x14ac:dyDescent="0.45">
      <c r="A554" s="8">
        <v>54.3</v>
      </c>
      <c r="B554" s="9">
        <f t="shared" si="16"/>
        <v>575.93847327644301</v>
      </c>
      <c r="C554" s="9">
        <f t="shared" si="17"/>
        <v>-13876.404976723557</v>
      </c>
    </row>
    <row r="555" spans="1:3" x14ac:dyDescent="0.45">
      <c r="A555" s="8">
        <v>54.4</v>
      </c>
      <c r="B555" s="9">
        <f t="shared" si="16"/>
        <v>576.99913344822278</v>
      </c>
      <c r="C555" s="9">
        <f t="shared" si="17"/>
        <v>-13928.661666551778</v>
      </c>
    </row>
    <row r="556" spans="1:3" x14ac:dyDescent="0.45">
      <c r="A556" s="8">
        <v>54.5</v>
      </c>
      <c r="B556" s="9">
        <f t="shared" si="16"/>
        <v>578.05979362000267</v>
      </c>
      <c r="C556" s="9">
        <f t="shared" si="17"/>
        <v>-13981.016456379997</v>
      </c>
    </row>
    <row r="557" spans="1:3" x14ac:dyDescent="0.45">
      <c r="A557" s="8">
        <v>54.6</v>
      </c>
      <c r="B557" s="9">
        <f t="shared" si="16"/>
        <v>579.12045379178244</v>
      </c>
      <c r="C557" s="9">
        <f t="shared" si="17"/>
        <v>-14033.46934620822</v>
      </c>
    </row>
    <row r="558" spans="1:3" x14ac:dyDescent="0.45">
      <c r="A558" s="8">
        <v>54.7</v>
      </c>
      <c r="B558" s="9">
        <f t="shared" si="16"/>
        <v>580.18111396356232</v>
      </c>
      <c r="C558" s="9">
        <f t="shared" si="17"/>
        <v>-14086.020336036439</v>
      </c>
    </row>
    <row r="559" spans="1:3" x14ac:dyDescent="0.45">
      <c r="A559" s="8">
        <v>54.8</v>
      </c>
      <c r="B559" s="9">
        <f t="shared" si="16"/>
        <v>581.2417741353421</v>
      </c>
      <c r="C559" s="9">
        <f t="shared" si="17"/>
        <v>-14138.669425864657</v>
      </c>
    </row>
    <row r="560" spans="1:3" x14ac:dyDescent="0.45">
      <c r="A560" s="8">
        <v>54.9</v>
      </c>
      <c r="B560" s="9">
        <f t="shared" si="16"/>
        <v>582.30243430712187</v>
      </c>
      <c r="C560" s="9">
        <f t="shared" si="17"/>
        <v>-14191.416615692879</v>
      </c>
    </row>
    <row r="561" spans="1:3" x14ac:dyDescent="0.45">
      <c r="A561" s="8">
        <v>55</v>
      </c>
      <c r="B561" s="9">
        <f t="shared" si="16"/>
        <v>583.36309447890176</v>
      </c>
      <c r="C561" s="9">
        <f t="shared" si="17"/>
        <v>-14244.261905521098</v>
      </c>
    </row>
    <row r="562" spans="1:3" x14ac:dyDescent="0.45">
      <c r="A562" s="8">
        <v>55.1</v>
      </c>
      <c r="B562" s="9">
        <f t="shared" si="16"/>
        <v>584.42375465068153</v>
      </c>
      <c r="C562" s="9">
        <f t="shared" si="17"/>
        <v>-14297.20529534932</v>
      </c>
    </row>
    <row r="563" spans="1:3" x14ac:dyDescent="0.45">
      <c r="A563" s="8">
        <v>55.2</v>
      </c>
      <c r="B563" s="9">
        <f t="shared" si="16"/>
        <v>585.48441482246142</v>
      </c>
      <c r="C563" s="9">
        <f t="shared" si="17"/>
        <v>-14350.24678517754</v>
      </c>
    </row>
    <row r="564" spans="1:3" x14ac:dyDescent="0.45">
      <c r="A564" s="8">
        <v>55.3</v>
      </c>
      <c r="B564" s="9">
        <f t="shared" si="16"/>
        <v>586.54507499424119</v>
      </c>
      <c r="C564" s="9">
        <f t="shared" si="17"/>
        <v>-14403.386375005759</v>
      </c>
    </row>
    <row r="565" spans="1:3" x14ac:dyDescent="0.45">
      <c r="A565" s="8">
        <v>55.4</v>
      </c>
      <c r="B565" s="9">
        <f t="shared" si="16"/>
        <v>587.60573516602096</v>
      </c>
      <c r="C565" s="9">
        <f t="shared" si="17"/>
        <v>-14456.624064833979</v>
      </c>
    </row>
    <row r="566" spans="1:3" x14ac:dyDescent="0.45">
      <c r="A566" s="8">
        <v>55.5</v>
      </c>
      <c r="B566" s="9">
        <f t="shared" si="16"/>
        <v>588.66639533780085</v>
      </c>
      <c r="C566" s="9">
        <f t="shared" si="17"/>
        <v>-14509.9598546622</v>
      </c>
    </row>
    <row r="567" spans="1:3" x14ac:dyDescent="0.45">
      <c r="A567" s="8">
        <v>55.6</v>
      </c>
      <c r="B567" s="9">
        <f t="shared" si="16"/>
        <v>589.72705550958062</v>
      </c>
      <c r="C567" s="9">
        <f t="shared" si="17"/>
        <v>-14563.39374449042</v>
      </c>
    </row>
    <row r="568" spans="1:3" x14ac:dyDescent="0.45">
      <c r="A568" s="8">
        <v>55.7</v>
      </c>
      <c r="B568" s="9">
        <f t="shared" si="16"/>
        <v>590.78771568136051</v>
      </c>
      <c r="C568" s="9">
        <f t="shared" si="17"/>
        <v>-14616.92573431864</v>
      </c>
    </row>
    <row r="569" spans="1:3" x14ac:dyDescent="0.45">
      <c r="A569" s="8">
        <v>55.8</v>
      </c>
      <c r="B569" s="9">
        <f t="shared" si="16"/>
        <v>591.84837585314028</v>
      </c>
      <c r="C569" s="9">
        <f t="shared" si="17"/>
        <v>-14670.555824146861</v>
      </c>
    </row>
    <row r="570" spans="1:3" x14ac:dyDescent="0.45">
      <c r="A570" s="8">
        <v>55.9</v>
      </c>
      <c r="B570" s="9">
        <f t="shared" si="16"/>
        <v>592.90903602492006</v>
      </c>
      <c r="C570" s="9">
        <f t="shared" si="17"/>
        <v>-14724.284013975081</v>
      </c>
    </row>
    <row r="571" spans="1:3" x14ac:dyDescent="0.45">
      <c r="A571" s="8">
        <v>56</v>
      </c>
      <c r="B571" s="9">
        <f t="shared" si="16"/>
        <v>593.96969619669994</v>
      </c>
      <c r="C571" s="9">
        <f t="shared" si="17"/>
        <v>-14778.1103038033</v>
      </c>
    </row>
    <row r="572" spans="1:3" x14ac:dyDescent="0.45">
      <c r="A572" s="8">
        <v>56.1</v>
      </c>
      <c r="B572" s="9">
        <f t="shared" si="16"/>
        <v>595.03035636847983</v>
      </c>
      <c r="C572" s="9">
        <f t="shared" si="17"/>
        <v>-14832.034693631522</v>
      </c>
    </row>
    <row r="573" spans="1:3" x14ac:dyDescent="0.45">
      <c r="A573" s="8">
        <v>56.2</v>
      </c>
      <c r="B573" s="9">
        <f t="shared" si="16"/>
        <v>596.0910165402596</v>
      </c>
      <c r="C573" s="9">
        <f t="shared" si="17"/>
        <v>-14886.057183459743</v>
      </c>
    </row>
    <row r="574" spans="1:3" x14ac:dyDescent="0.45">
      <c r="A574" s="8">
        <v>56.3</v>
      </c>
      <c r="B574" s="9">
        <f t="shared" si="16"/>
        <v>597.15167671203938</v>
      </c>
      <c r="C574" s="9">
        <f t="shared" si="17"/>
        <v>-14940.17777328796</v>
      </c>
    </row>
    <row r="575" spans="1:3" x14ac:dyDescent="0.45">
      <c r="A575" s="8">
        <v>56.4</v>
      </c>
      <c r="B575" s="9">
        <f t="shared" si="16"/>
        <v>598.21233688381926</v>
      </c>
      <c r="C575" s="9">
        <f t="shared" si="17"/>
        <v>-14994.396463116183</v>
      </c>
    </row>
    <row r="576" spans="1:3" x14ac:dyDescent="0.45">
      <c r="A576" s="8">
        <v>56.5</v>
      </c>
      <c r="B576" s="9">
        <f t="shared" si="16"/>
        <v>599.27299705559903</v>
      </c>
      <c r="C576" s="9">
        <f t="shared" si="17"/>
        <v>-15048.713252944401</v>
      </c>
    </row>
    <row r="577" spans="1:3" x14ac:dyDescent="0.45">
      <c r="A577" s="8">
        <v>56.6</v>
      </c>
      <c r="B577" s="9">
        <f t="shared" si="16"/>
        <v>600.33365722737892</v>
      </c>
      <c r="C577" s="9">
        <f t="shared" si="17"/>
        <v>-15103.128142772623</v>
      </c>
    </row>
    <row r="578" spans="1:3" x14ac:dyDescent="0.45">
      <c r="A578" s="8">
        <v>56.7</v>
      </c>
      <c r="B578" s="9">
        <f t="shared" si="16"/>
        <v>601.39431739915869</v>
      </c>
      <c r="C578" s="9">
        <f t="shared" si="17"/>
        <v>-15157.641132600844</v>
      </c>
    </row>
    <row r="579" spans="1:3" x14ac:dyDescent="0.45">
      <c r="A579" s="8">
        <v>56.8</v>
      </c>
      <c r="B579" s="9">
        <f t="shared" si="16"/>
        <v>602.45497757093847</v>
      </c>
      <c r="C579" s="9">
        <f t="shared" si="17"/>
        <v>-15212.252222429061</v>
      </c>
    </row>
    <row r="580" spans="1:3" x14ac:dyDescent="0.45">
      <c r="A580" s="8">
        <v>56.9</v>
      </c>
      <c r="B580" s="9">
        <f t="shared" si="16"/>
        <v>603.51563774271835</v>
      </c>
      <c r="C580" s="9">
        <f t="shared" si="17"/>
        <v>-15266.961412257282</v>
      </c>
    </row>
    <row r="581" spans="1:3" x14ac:dyDescent="0.45">
      <c r="A581" s="8">
        <v>57</v>
      </c>
      <c r="B581" s="9">
        <f t="shared" si="16"/>
        <v>604.57629791449813</v>
      </c>
      <c r="C581" s="9">
        <f t="shared" si="17"/>
        <v>-15321.768702085503</v>
      </c>
    </row>
    <row r="582" spans="1:3" x14ac:dyDescent="0.45">
      <c r="A582" s="8">
        <v>57.1</v>
      </c>
      <c r="B582" s="9">
        <f t="shared" si="16"/>
        <v>605.63695808627801</v>
      </c>
      <c r="C582" s="9">
        <f t="shared" si="17"/>
        <v>-15376.674091913725</v>
      </c>
    </row>
    <row r="583" spans="1:3" x14ac:dyDescent="0.45">
      <c r="A583" s="8">
        <v>57.2</v>
      </c>
      <c r="B583" s="9">
        <f t="shared" si="16"/>
        <v>606.69761825805779</v>
      </c>
      <c r="C583" s="9">
        <f t="shared" si="17"/>
        <v>-15431.677581741944</v>
      </c>
    </row>
    <row r="584" spans="1:3" x14ac:dyDescent="0.45">
      <c r="A584" s="8">
        <v>57.3</v>
      </c>
      <c r="B584" s="9">
        <f t="shared" si="16"/>
        <v>607.75827842983756</v>
      </c>
      <c r="C584" s="9">
        <f t="shared" si="17"/>
        <v>-15486.779171570161</v>
      </c>
    </row>
    <row r="585" spans="1:3" x14ac:dyDescent="0.45">
      <c r="A585" s="8">
        <v>57.4</v>
      </c>
      <c r="B585" s="9">
        <f t="shared" si="16"/>
        <v>608.81893860161745</v>
      </c>
      <c r="C585" s="9">
        <f t="shared" si="17"/>
        <v>-15541.978861398384</v>
      </c>
    </row>
    <row r="586" spans="1:3" x14ac:dyDescent="0.45">
      <c r="A586" s="8">
        <v>57.5</v>
      </c>
      <c r="B586" s="9">
        <f t="shared" si="16"/>
        <v>609.87959877339722</v>
      </c>
      <c r="C586" s="9">
        <f t="shared" si="17"/>
        <v>-15597.276651226603</v>
      </c>
    </row>
    <row r="587" spans="1:3" x14ac:dyDescent="0.45">
      <c r="A587" s="8">
        <v>57.6</v>
      </c>
      <c r="B587" s="9">
        <f t="shared" si="16"/>
        <v>610.94025894517711</v>
      </c>
      <c r="C587" s="9">
        <f t="shared" si="17"/>
        <v>-15652.672541054826</v>
      </c>
    </row>
    <row r="588" spans="1:3" x14ac:dyDescent="0.45">
      <c r="A588" s="8">
        <v>57.7</v>
      </c>
      <c r="B588" s="9">
        <f t="shared" ref="B588:B611" si="18">A588*$F$1</f>
        <v>612.00091911695688</v>
      </c>
      <c r="C588" s="9">
        <f t="shared" ref="C588:C611" si="19">$F$2*A588+(0.5*$B$5*A588^2)+$B$4</f>
        <v>-15708.166530883045</v>
      </c>
    </row>
    <row r="589" spans="1:3" x14ac:dyDescent="0.45">
      <c r="A589" s="8">
        <v>57.8</v>
      </c>
      <c r="B589" s="9">
        <f t="shared" si="18"/>
        <v>613.06157928873665</v>
      </c>
      <c r="C589" s="9">
        <f t="shared" si="19"/>
        <v>-15763.758620711262</v>
      </c>
    </row>
    <row r="590" spans="1:3" x14ac:dyDescent="0.45">
      <c r="A590" s="8">
        <v>57.9</v>
      </c>
      <c r="B590" s="9">
        <f t="shared" si="18"/>
        <v>614.12223946051654</v>
      </c>
      <c r="C590" s="9">
        <f t="shared" si="19"/>
        <v>-15819.448810539483</v>
      </c>
    </row>
    <row r="591" spans="1:3" x14ac:dyDescent="0.45">
      <c r="A591" s="8">
        <v>58</v>
      </c>
      <c r="B591" s="9">
        <f t="shared" si="18"/>
        <v>615.18289963229631</v>
      </c>
      <c r="C591" s="9">
        <f t="shared" si="19"/>
        <v>-15875.237100367705</v>
      </c>
    </row>
    <row r="592" spans="1:3" x14ac:dyDescent="0.45">
      <c r="A592" s="8">
        <v>58.1</v>
      </c>
      <c r="B592" s="9">
        <f t="shared" si="18"/>
        <v>616.2435598040762</v>
      </c>
      <c r="C592" s="9">
        <f t="shared" si="19"/>
        <v>-15931.123490195925</v>
      </c>
    </row>
    <row r="593" spans="1:3" x14ac:dyDescent="0.45">
      <c r="A593" s="8">
        <v>58.2</v>
      </c>
      <c r="B593" s="9">
        <f t="shared" si="18"/>
        <v>617.30421997585609</v>
      </c>
      <c r="C593" s="9">
        <f t="shared" si="19"/>
        <v>-15987.107980024146</v>
      </c>
    </row>
    <row r="594" spans="1:3" x14ac:dyDescent="0.45">
      <c r="A594" s="8">
        <v>58.3</v>
      </c>
      <c r="B594" s="9">
        <f t="shared" si="18"/>
        <v>618.36488014763586</v>
      </c>
      <c r="C594" s="9">
        <f t="shared" si="19"/>
        <v>-16043.190569852364</v>
      </c>
    </row>
    <row r="595" spans="1:3" x14ac:dyDescent="0.45">
      <c r="A595" s="8">
        <v>58.4</v>
      </c>
      <c r="B595" s="9">
        <f t="shared" si="18"/>
        <v>619.42554031941563</v>
      </c>
      <c r="C595" s="9">
        <f t="shared" si="19"/>
        <v>-16099.371259680585</v>
      </c>
    </row>
    <row r="596" spans="1:3" x14ac:dyDescent="0.45">
      <c r="A596" s="8">
        <v>58.5</v>
      </c>
      <c r="B596" s="9">
        <f t="shared" si="18"/>
        <v>620.48620049119552</v>
      </c>
      <c r="C596" s="9">
        <f t="shared" si="19"/>
        <v>-16155.650049508804</v>
      </c>
    </row>
    <row r="597" spans="1:3" x14ac:dyDescent="0.45">
      <c r="A597" s="8">
        <v>58.6</v>
      </c>
      <c r="B597" s="9">
        <f t="shared" si="18"/>
        <v>621.54686066297529</v>
      </c>
      <c r="C597" s="9">
        <f t="shared" si="19"/>
        <v>-16212.026939337027</v>
      </c>
    </row>
    <row r="598" spans="1:3" x14ac:dyDescent="0.45">
      <c r="A598" s="8">
        <v>58.7</v>
      </c>
      <c r="B598" s="9">
        <f t="shared" si="18"/>
        <v>622.60752083475518</v>
      </c>
      <c r="C598" s="9">
        <f t="shared" si="19"/>
        <v>-16268.501929165248</v>
      </c>
    </row>
    <row r="599" spans="1:3" x14ac:dyDescent="0.45">
      <c r="A599" s="8">
        <v>58.8</v>
      </c>
      <c r="B599" s="9">
        <f t="shared" si="18"/>
        <v>623.66818100653495</v>
      </c>
      <c r="C599" s="9">
        <f t="shared" si="19"/>
        <v>-16325.075018993462</v>
      </c>
    </row>
    <row r="600" spans="1:3" x14ac:dyDescent="0.45">
      <c r="A600" s="8">
        <v>58.9</v>
      </c>
      <c r="B600" s="9">
        <f t="shared" si="18"/>
        <v>624.72884117831472</v>
      </c>
      <c r="C600" s="9">
        <f t="shared" si="19"/>
        <v>-16381.746208821685</v>
      </c>
    </row>
    <row r="601" spans="1:3" x14ac:dyDescent="0.45">
      <c r="A601" s="8">
        <v>59</v>
      </c>
      <c r="B601" s="9">
        <f t="shared" si="18"/>
        <v>625.78950135009461</v>
      </c>
      <c r="C601" s="9">
        <f t="shared" si="19"/>
        <v>-16438.515498649907</v>
      </c>
    </row>
    <row r="602" spans="1:3" x14ac:dyDescent="0.45">
      <c r="A602" s="8">
        <v>59.1</v>
      </c>
      <c r="B602" s="9">
        <f t="shared" si="18"/>
        <v>626.85016152187438</v>
      </c>
      <c r="C602" s="9">
        <f t="shared" si="19"/>
        <v>-16495.382888478125</v>
      </c>
    </row>
    <row r="603" spans="1:3" x14ac:dyDescent="0.45">
      <c r="A603" s="8">
        <v>59.2</v>
      </c>
      <c r="B603" s="9">
        <f t="shared" si="18"/>
        <v>627.91082169365427</v>
      </c>
      <c r="C603" s="9">
        <f t="shared" si="19"/>
        <v>-16552.348378306349</v>
      </c>
    </row>
    <row r="604" spans="1:3" x14ac:dyDescent="0.45">
      <c r="A604" s="8">
        <v>59.3</v>
      </c>
      <c r="B604" s="9">
        <f t="shared" si="18"/>
        <v>628.97148186543404</v>
      </c>
      <c r="C604" s="9">
        <f t="shared" si="19"/>
        <v>-16609.411968134566</v>
      </c>
    </row>
    <row r="605" spans="1:3" x14ac:dyDescent="0.45">
      <c r="A605" s="8">
        <v>59.4</v>
      </c>
      <c r="B605" s="9">
        <f t="shared" si="18"/>
        <v>630.03214203721382</v>
      </c>
      <c r="C605" s="9">
        <f t="shared" si="19"/>
        <v>-16666.573657962785</v>
      </c>
    </row>
    <row r="606" spans="1:3" x14ac:dyDescent="0.45">
      <c r="A606" s="8">
        <v>59.5</v>
      </c>
      <c r="B606" s="9">
        <f t="shared" si="18"/>
        <v>631.0928022089937</v>
      </c>
      <c r="C606" s="9">
        <f t="shared" si="19"/>
        <v>-16723.833447791007</v>
      </c>
    </row>
    <row r="607" spans="1:3" x14ac:dyDescent="0.45">
      <c r="A607" s="8">
        <v>59.6</v>
      </c>
      <c r="B607" s="9">
        <f t="shared" si="18"/>
        <v>632.15346238077348</v>
      </c>
      <c r="C607" s="9">
        <f t="shared" si="19"/>
        <v>-16781.191337619228</v>
      </c>
    </row>
    <row r="608" spans="1:3" x14ac:dyDescent="0.45">
      <c r="A608" s="8">
        <v>59.7</v>
      </c>
      <c r="B608" s="9">
        <f t="shared" si="18"/>
        <v>633.21412255255336</v>
      </c>
      <c r="C608" s="9">
        <f t="shared" si="19"/>
        <v>-16838.647327447448</v>
      </c>
    </row>
    <row r="609" spans="1:3" x14ac:dyDescent="0.45">
      <c r="A609" s="8">
        <v>59.8</v>
      </c>
      <c r="B609" s="9">
        <f t="shared" si="18"/>
        <v>634.27478272433314</v>
      </c>
      <c r="C609" s="9">
        <f t="shared" si="19"/>
        <v>-16896.201417275664</v>
      </c>
    </row>
    <row r="610" spans="1:3" x14ac:dyDescent="0.45">
      <c r="A610" s="8">
        <v>59.9</v>
      </c>
      <c r="B610" s="9">
        <f t="shared" si="18"/>
        <v>635.33544289611291</v>
      </c>
      <c r="C610" s="9">
        <f t="shared" si="19"/>
        <v>-16953.853607103887</v>
      </c>
    </row>
    <row r="611" spans="1:3" x14ac:dyDescent="0.45">
      <c r="A611" s="8">
        <v>60</v>
      </c>
      <c r="B611" s="9">
        <f t="shared" si="18"/>
        <v>636.3961030678928</v>
      </c>
      <c r="C611" s="9">
        <f t="shared" si="19"/>
        <v>-17011.603896932109</v>
      </c>
    </row>
    <row r="612" spans="1:3" x14ac:dyDescent="0.45">
      <c r="A612" s="8"/>
    </row>
    <row r="613" spans="1:3" x14ac:dyDescent="0.45">
      <c r="A613" s="8"/>
    </row>
    <row r="614" spans="1:3" x14ac:dyDescent="0.45">
      <c r="A614" s="8"/>
    </row>
    <row r="615" spans="1:3" x14ac:dyDescent="0.45">
      <c r="A615" s="8"/>
    </row>
    <row r="616" spans="1:3" x14ac:dyDescent="0.45">
      <c r="A616" s="8"/>
    </row>
    <row r="617" spans="1:3" x14ac:dyDescent="0.45">
      <c r="A617" s="8"/>
    </row>
    <row r="618" spans="1:3" x14ac:dyDescent="0.45">
      <c r="A618" s="8"/>
    </row>
    <row r="619" spans="1:3" x14ac:dyDescent="0.45">
      <c r="A619" s="8"/>
    </row>
    <row r="620" spans="1:3" x14ac:dyDescent="0.45">
      <c r="A620" s="8"/>
    </row>
    <row r="621" spans="1:3" x14ac:dyDescent="0.45">
      <c r="A621" s="8"/>
    </row>
    <row r="622" spans="1:3" x14ac:dyDescent="0.45">
      <c r="A622" s="8"/>
    </row>
    <row r="623" spans="1:3" x14ac:dyDescent="0.45">
      <c r="A623" s="8"/>
    </row>
    <row r="624" spans="1:3" x14ac:dyDescent="0.45">
      <c r="A624" s="8"/>
    </row>
    <row r="625" spans="1:1" x14ac:dyDescent="0.45">
      <c r="A625" s="8"/>
    </row>
    <row r="626" spans="1:1" x14ac:dyDescent="0.45">
      <c r="A626" s="8"/>
    </row>
    <row r="627" spans="1:1" x14ac:dyDescent="0.45">
      <c r="A627" s="8"/>
    </row>
    <row r="628" spans="1:1" x14ac:dyDescent="0.45">
      <c r="A628" s="8"/>
    </row>
    <row r="629" spans="1:1" x14ac:dyDescent="0.45">
      <c r="A629" s="8"/>
    </row>
    <row r="630" spans="1:1" x14ac:dyDescent="0.45">
      <c r="A630" s="8"/>
    </row>
    <row r="631" spans="1:1" x14ac:dyDescent="0.45">
      <c r="A631" s="8"/>
    </row>
    <row r="632" spans="1:1" x14ac:dyDescent="0.45">
      <c r="A632" s="8"/>
    </row>
    <row r="633" spans="1:1" x14ac:dyDescent="0.45">
      <c r="A633" s="8"/>
    </row>
    <row r="634" spans="1:1" x14ac:dyDescent="0.45">
      <c r="A634" s="8"/>
    </row>
    <row r="635" spans="1:1" x14ac:dyDescent="0.45">
      <c r="A635" s="8"/>
    </row>
    <row r="636" spans="1:1" x14ac:dyDescent="0.45">
      <c r="A636" s="8"/>
    </row>
    <row r="637" spans="1:1" x14ac:dyDescent="0.45">
      <c r="A637" s="8"/>
    </row>
    <row r="638" spans="1:1" x14ac:dyDescent="0.45">
      <c r="A638" s="8"/>
    </row>
    <row r="639" spans="1:1" x14ac:dyDescent="0.45">
      <c r="A639" s="8"/>
    </row>
    <row r="640" spans="1:1" x14ac:dyDescent="0.45">
      <c r="A640" s="8"/>
    </row>
    <row r="641" spans="1:1" x14ac:dyDescent="0.45">
      <c r="A641" s="8"/>
    </row>
    <row r="642" spans="1:1" x14ac:dyDescent="0.45">
      <c r="A642" s="8"/>
    </row>
  </sheetData>
  <sheetProtection algorithmName="SHA-512" hashValue="hnjv2iKpnMtuSZrI5eEyNG66CMVGGkguCY1FBJEFLJGfO+Kkl7XaSrIoGdUvphj5zk0xQ53xYfG9KqNQIJEfyA==" saltValue="zvDJD8kpASGSO8edQ66OPQ==" spinCount="100000" sheet="1" objects="1" scenarios="1"/>
  <protectedRanges>
    <protectedRange sqref="B1 B2 B4 B5" name="Range1"/>
  </protectedRanges>
  <mergeCells count="2">
    <mergeCell ref="K17:M21"/>
    <mergeCell ref="E10:I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ChartData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Mathieu</dc:creator>
  <cp:lastModifiedBy>Mathieu Kusno</cp:lastModifiedBy>
  <dcterms:created xsi:type="dcterms:W3CDTF">2015-06-05T18:17:20Z</dcterms:created>
  <dcterms:modified xsi:type="dcterms:W3CDTF">2025-11-20T20:03:20Z</dcterms:modified>
</cp:coreProperties>
</file>